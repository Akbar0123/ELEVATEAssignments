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08046814db4ed7/Desktop/"/>
    </mc:Choice>
  </mc:AlternateContent>
  <xr:revisionPtr revIDLastSave="100" documentId="8_{7D124358-9A45-4F31-BFEE-43234C991245}" xr6:coauthVersionLast="47" xr6:coauthVersionMax="47" xr10:uidLastSave="{97C8D30D-EA50-402B-925A-628DE3C61B03}"/>
  <bookViews>
    <workbookView xWindow="-110" yWindow="-110" windowWidth="19420" windowHeight="10300" xr2:uid="{0DACAE52-15B5-46EC-B8C2-489B0F1C8EE9}"/>
  </bookViews>
  <sheets>
    <sheet name="Superstore_1233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2" i="1"/>
</calcChain>
</file>

<file path=xl/sharedStrings.xml><?xml version="1.0" encoding="utf-8"?>
<sst xmlns="http://schemas.openxmlformats.org/spreadsheetml/2006/main" count="16790" uniqueCount="6398">
  <si>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</si>
  <si>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</si>
  <si>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</si>
  <si>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</si>
  <si>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</si>
  <si>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</si>
  <si>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</si>
  <si>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</si>
  <si>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</si>
  <si>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</si>
  <si>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</si>
  <si>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</si>
  <si>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</si>
  <si>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</si>
  <si>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</si>
  <si>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</si>
  <si>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</si>
  <si>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</si>
  <si>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</si>
  <si>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NY-2017-836188</t>
  </si>
  <si>
    <t>Second Class</t>
  </si>
  <si>
    <t>CUST-29806</t>
  </si>
  <si>
    <t>Customer 3883</t>
  </si>
  <si>
    <t>Corporate</t>
  </si>
  <si>
    <t>United States</t>
  </si>
  <si>
    <t>Houston</t>
  </si>
  <si>
    <t>California</t>
  </si>
  <si>
    <t>East</t>
  </si>
  <si>
    <t>PRD-650296</t>
  </si>
  <si>
    <t>Technology</t>
  </si>
  <si>
    <t>Copiers</t>
  </si>
  <si>
    <t>Copiers Product 216</t>
  </si>
  <si>
    <t>US-2016-838051</t>
  </si>
  <si>
    <t>CUST-16482</t>
  </si>
  <si>
    <t>Customer 2474</t>
  </si>
  <si>
    <t>Home Office</t>
  </si>
  <si>
    <t>New York</t>
  </si>
  <si>
    <t>Ohio</t>
  </si>
  <si>
    <t>PRD-552382</t>
  </si>
  <si>
    <t>Phones</t>
  </si>
  <si>
    <t>Phones Product 261</t>
  </si>
  <si>
    <t>TX-2017-536935</t>
  </si>
  <si>
    <t>Same Day</t>
  </si>
  <si>
    <t>CUST-66604</t>
  </si>
  <si>
    <t>Customer 384</t>
  </si>
  <si>
    <t>Atlanta</t>
  </si>
  <si>
    <t>Texas</t>
  </si>
  <si>
    <t>PRD-794277</t>
  </si>
  <si>
    <t>Furniture</t>
  </si>
  <si>
    <t>Furnishings</t>
  </si>
  <si>
    <t>Furnishings Product 29</t>
  </si>
  <si>
    <t>TX-2017-760936</t>
  </si>
  <si>
    <t>Standard Class</t>
  </si>
  <si>
    <t>CUST-48658</t>
  </si>
  <si>
    <t>Customer 2993</t>
  </si>
  <si>
    <t>Consumer</t>
  </si>
  <si>
    <t>Illinois</t>
  </si>
  <si>
    <t>West</t>
  </si>
  <si>
    <t>PRD-600186</t>
  </si>
  <si>
    <t>Chairs</t>
  </si>
  <si>
    <t>Chairs Product 30</t>
  </si>
  <si>
    <t>US-2016-998566</t>
  </si>
  <si>
    <t>First Class</t>
  </si>
  <si>
    <t>CUST-20671</t>
  </si>
  <si>
    <t>Customer 3029</t>
  </si>
  <si>
    <t>Oregon</t>
  </si>
  <si>
    <t>PRD-132957</t>
  </si>
  <si>
    <t>Office Supplies</t>
  </si>
  <si>
    <t>Art</t>
  </si>
  <si>
    <t>Art Product 218</t>
  </si>
  <si>
    <t>TX-2017-951586</t>
  </si>
  <si>
    <t>CUST-27397</t>
  </si>
  <si>
    <t>Customer 2871</t>
  </si>
  <si>
    <t>Columbus</t>
  </si>
  <si>
    <t>Central</t>
  </si>
  <si>
    <t>PRD-356090</t>
  </si>
  <si>
    <t>Tables</t>
  </si>
  <si>
    <t>Tables Product 292</t>
  </si>
  <si>
    <t>CA-2018-296334</t>
  </si>
  <si>
    <t>CUST-84770</t>
  </si>
  <si>
    <t>Customer 4058</t>
  </si>
  <si>
    <t>Miami</t>
  </si>
  <si>
    <t>Georgia</t>
  </si>
  <si>
    <t>South</t>
  </si>
  <si>
    <t>PRD-271154</t>
  </si>
  <si>
    <t>Chairs Product 287</t>
  </si>
  <si>
    <t>CA-2019-863493</t>
  </si>
  <si>
    <t>CUST-13332</t>
  </si>
  <si>
    <t>Customer 1068</t>
  </si>
  <si>
    <t>Portland</t>
  </si>
  <si>
    <t>Pennsylvania</t>
  </si>
  <si>
    <t>PRD-691289</t>
  </si>
  <si>
    <t>Storage</t>
  </si>
  <si>
    <t>Storage Product 159</t>
  </si>
  <si>
    <t>US-2019-704160</t>
  </si>
  <si>
    <t>CUST-83549</t>
  </si>
  <si>
    <t>Customer 1588</t>
  </si>
  <si>
    <t>Seattle</t>
  </si>
  <si>
    <t>PRD-282717</t>
  </si>
  <si>
    <t>Chairs Product 61</t>
  </si>
  <si>
    <t>TX-2019-626081</t>
  </si>
  <si>
    <t>CUST-21673</t>
  </si>
  <si>
    <t>Customer 3662</t>
  </si>
  <si>
    <t>Pittsburgh</t>
  </si>
  <si>
    <t>PRD-524477</t>
  </si>
  <si>
    <t>Storage Product 221</t>
  </si>
  <si>
    <t>US-2017-915992</t>
  </si>
  <si>
    <t>CUST-55318</t>
  </si>
  <si>
    <t>Customer 777</t>
  </si>
  <si>
    <t>PRD-287082</t>
  </si>
  <si>
    <t>Machines</t>
  </si>
  <si>
    <t>Machines Product 42</t>
  </si>
  <si>
    <t>NY-2019-140463</t>
  </si>
  <si>
    <t>CUST-32079</t>
  </si>
  <si>
    <t>Customer 2160</t>
  </si>
  <si>
    <t>Washington</t>
  </si>
  <si>
    <t>PRD-720324</t>
  </si>
  <si>
    <t>Appliances</t>
  </si>
  <si>
    <t>Appliances Product 109</t>
  </si>
  <si>
    <t>TX-2017-242714</t>
  </si>
  <si>
    <t>CUST-79925</t>
  </si>
  <si>
    <t>Customer 4821</t>
  </si>
  <si>
    <t>PRD-991447</t>
  </si>
  <si>
    <t>Tables Product 191</t>
  </si>
  <si>
    <t>NY-2018-304973</t>
  </si>
  <si>
    <t>CUST-83837</t>
  </si>
  <si>
    <t>Customer 4175</t>
  </si>
  <si>
    <t>PRD-297952</t>
  </si>
  <si>
    <t>Bookcases</t>
  </si>
  <si>
    <t>Bookcases Product 197</t>
  </si>
  <si>
    <t>TX-2019-963672</t>
  </si>
  <si>
    <t>CUST-15467</t>
  </si>
  <si>
    <t>Customer 1205</t>
  </si>
  <si>
    <t>Los Angeles</t>
  </si>
  <si>
    <t>PRD-468089</t>
  </si>
  <si>
    <t>Bookcases Product 92</t>
  </si>
  <si>
    <t>TX-2017-511902</t>
  </si>
  <si>
    <t>CUST-93655</t>
  </si>
  <si>
    <t>Customer 4152</t>
  </si>
  <si>
    <t>PRD-933760</t>
  </si>
  <si>
    <t>Machines Product 101</t>
  </si>
  <si>
    <t>US-2016-431000</t>
  </si>
  <si>
    <t>CUST-81692</t>
  </si>
  <si>
    <t>Customer 4632</t>
  </si>
  <si>
    <t>PRD-201224</t>
  </si>
  <si>
    <t>Tables Product 34</t>
  </si>
  <si>
    <t>US-2017-125181</t>
  </si>
  <si>
    <t>CUST-89923</t>
  </si>
  <si>
    <t>Customer 4813</t>
  </si>
  <si>
    <t>PRD-981490</t>
  </si>
  <si>
    <t>Machines Product 255</t>
  </si>
  <si>
    <t>CA-2017-828350</t>
  </si>
  <si>
    <t>CUST-33771</t>
  </si>
  <si>
    <t>Customer 3551</t>
  </si>
  <si>
    <t>PRD-456417</t>
  </si>
  <si>
    <t>Accessories</t>
  </si>
  <si>
    <t>Accessories Product 245</t>
  </si>
  <si>
    <t>CA-2017-703497</t>
  </si>
  <si>
    <t>CUST-73767</t>
  </si>
  <si>
    <t>Customer 308</t>
  </si>
  <si>
    <t>PRD-495493</t>
  </si>
  <si>
    <t>Phones Product 62</t>
  </si>
  <si>
    <t>US-2019-443339</t>
  </si>
  <si>
    <t>CUST-48916</t>
  </si>
  <si>
    <t>Customer 3357</t>
  </si>
  <si>
    <t>PRD-443705</t>
  </si>
  <si>
    <t>Chairs Product 237</t>
  </si>
  <si>
    <t>NY-2017-502906</t>
  </si>
  <si>
    <t>CUST-46004</t>
  </si>
  <si>
    <t>Customer 244</t>
  </si>
  <si>
    <t>Florida</t>
  </si>
  <si>
    <t>PRD-722090</t>
  </si>
  <si>
    <t>Chairs Product 153</t>
  </si>
  <si>
    <t>CA-2018-431645</t>
  </si>
  <si>
    <t>CUST-65104</t>
  </si>
  <si>
    <t>Customer 1298</t>
  </si>
  <si>
    <t>PRD-320328</t>
  </si>
  <si>
    <t>Storage Product 201</t>
  </si>
  <si>
    <t>US-2018-576229</t>
  </si>
  <si>
    <t>CUST-18818</t>
  </si>
  <si>
    <t>Customer 3223</t>
  </si>
  <si>
    <t>PRD-550446</t>
  </si>
  <si>
    <t>Storage Product 150</t>
  </si>
  <si>
    <t>US-2018-312108</t>
  </si>
  <si>
    <t>CUST-25928</t>
  </si>
  <si>
    <t>Customer 3523</t>
  </si>
  <si>
    <t>PRD-526689</t>
  </si>
  <si>
    <t>Tables Product 5</t>
  </si>
  <si>
    <t>TX-2018-222430</t>
  </si>
  <si>
    <t>CUST-67342</t>
  </si>
  <si>
    <t>Customer 543</t>
  </si>
  <si>
    <t>PRD-288315</t>
  </si>
  <si>
    <t>Art Product 118</t>
  </si>
  <si>
    <t>TX-2016-673467</t>
  </si>
  <si>
    <t>CUST-43092</t>
  </si>
  <si>
    <t>Customer 3579</t>
  </si>
  <si>
    <t>PRD-933747</t>
  </si>
  <si>
    <t>Binders</t>
  </si>
  <si>
    <t>Binders Product 279</t>
  </si>
  <si>
    <t>US-2019-470681</t>
  </si>
  <si>
    <t>CUST-72272</t>
  </si>
  <si>
    <t>Customer 2056</t>
  </si>
  <si>
    <t>PRD-311182</t>
  </si>
  <si>
    <t>Accessories Product 132</t>
  </si>
  <si>
    <t>US-2019-610640</t>
  </si>
  <si>
    <t>CUST-86997</t>
  </si>
  <si>
    <t>Customer 2897</t>
  </si>
  <si>
    <t>PRD-607568</t>
  </si>
  <si>
    <t>Furnishings Product 95</t>
  </si>
  <si>
    <t>CA-2016-989915</t>
  </si>
  <si>
    <t>CUST-47079</t>
  </si>
  <si>
    <t>Customer 971</t>
  </si>
  <si>
    <t>Chicago</t>
  </si>
  <si>
    <t>PRD-601183</t>
  </si>
  <si>
    <t>Appliances Product 200</t>
  </si>
  <si>
    <t>NY-2017-873580</t>
  </si>
  <si>
    <t>CUST-30474</t>
  </si>
  <si>
    <t>Customer 3909</t>
  </si>
  <si>
    <t>PRD-151249</t>
  </si>
  <si>
    <t>Machines Product 157</t>
  </si>
  <si>
    <t>NY-2019-139061</t>
  </si>
  <si>
    <t>CUST-42070</t>
  </si>
  <si>
    <t>Customer 2937</t>
  </si>
  <si>
    <t>PRD-678802</t>
  </si>
  <si>
    <t>Appliances Product 100</t>
  </si>
  <si>
    <t>CA-2019-854351</t>
  </si>
  <si>
    <t>CUST-35319</t>
  </si>
  <si>
    <t>Customer 4217</t>
  </si>
  <si>
    <t>PRD-106869</t>
  </si>
  <si>
    <t>Labels</t>
  </si>
  <si>
    <t>Labels Product 262</t>
  </si>
  <si>
    <t>NY-2016-921589</t>
  </si>
  <si>
    <t>CUST-79070</t>
  </si>
  <si>
    <t>Customer 2800</t>
  </si>
  <si>
    <t>PRD-553664</t>
  </si>
  <si>
    <t>Accessories Product 124</t>
  </si>
  <si>
    <t>CA-2019-327724</t>
  </si>
  <si>
    <t>CUST-10888</t>
  </si>
  <si>
    <t>Customer 1694</t>
  </si>
  <si>
    <t>PRD-827584</t>
  </si>
  <si>
    <t>Furnishings Product 240</t>
  </si>
  <si>
    <t>NY-2019-299598</t>
  </si>
  <si>
    <t>CUST-76116</t>
  </si>
  <si>
    <t>Customer 1474</t>
  </si>
  <si>
    <t>PRD-122193</t>
  </si>
  <si>
    <t>Copiers Product 49</t>
  </si>
  <si>
    <t>US-2016-158997</t>
  </si>
  <si>
    <t>CUST-31991</t>
  </si>
  <si>
    <t>Customer 234</t>
  </si>
  <si>
    <t>PRD-438304</t>
  </si>
  <si>
    <t>Furnishings Product 161</t>
  </si>
  <si>
    <t>NY-2016-639562</t>
  </si>
  <si>
    <t>CUST-74203</t>
  </si>
  <si>
    <t>Customer 2667</t>
  </si>
  <si>
    <t>PRD-920824</t>
  </si>
  <si>
    <t>Storage Product 17</t>
  </si>
  <si>
    <t>TX-2016-906651</t>
  </si>
  <si>
    <t>CUST-98499</t>
  </si>
  <si>
    <t>Customer 3462</t>
  </si>
  <si>
    <t>PRD-216954</t>
  </si>
  <si>
    <t>Labels Product 193</t>
  </si>
  <si>
    <t>CA-2018-631043</t>
  </si>
  <si>
    <t>CUST-77778</t>
  </si>
  <si>
    <t>Customer 1914</t>
  </si>
  <si>
    <t>PRD-876081</t>
  </si>
  <si>
    <t>Machines Product 293</t>
  </si>
  <si>
    <t>US-2016-786038</t>
  </si>
  <si>
    <t>CUST-50506</t>
  </si>
  <si>
    <t>Customer 671</t>
  </si>
  <si>
    <t>PRD-378755</t>
  </si>
  <si>
    <t>Storage Product 168</t>
  </si>
  <si>
    <t>US-2017-706348</t>
  </si>
  <si>
    <t>CUST-44548</t>
  </si>
  <si>
    <t>Customer 3277</t>
  </si>
  <si>
    <t>PRD-852188</t>
  </si>
  <si>
    <t>Art Product 42</t>
  </si>
  <si>
    <t>NY-2019-350370</t>
  </si>
  <si>
    <t>CUST-88474</t>
  </si>
  <si>
    <t>Customer 139</t>
  </si>
  <si>
    <t>PRD-667074</t>
  </si>
  <si>
    <t>Chairs Product 22</t>
  </si>
  <si>
    <t>US-2017-798234</t>
  </si>
  <si>
    <t>CUST-69601</t>
  </si>
  <si>
    <t>Customer 4956</t>
  </si>
  <si>
    <t>PRD-608386</t>
  </si>
  <si>
    <t>Binders Product 52</t>
  </si>
  <si>
    <t>CA-2019-796717</t>
  </si>
  <si>
    <t>CUST-51062</t>
  </si>
  <si>
    <t>Customer 1374</t>
  </si>
  <si>
    <t>PRD-615795</t>
  </si>
  <si>
    <t>Machines Product 66</t>
  </si>
  <si>
    <t>NY-2016-512775</t>
  </si>
  <si>
    <t>CUST-58041</t>
  </si>
  <si>
    <t>Customer 4873</t>
  </si>
  <si>
    <t>PRD-942672</t>
  </si>
  <si>
    <t>Appliances Product 20</t>
  </si>
  <si>
    <t>NY-2017-391127</t>
  </si>
  <si>
    <t>CUST-17052</t>
  </si>
  <si>
    <t>Customer 627</t>
  </si>
  <si>
    <t>PRD-143348</t>
  </si>
  <si>
    <t>Copiers Product 84</t>
  </si>
  <si>
    <t>US-2016-969628</t>
  </si>
  <si>
    <t>CUST-84097</t>
  </si>
  <si>
    <t>Customer 401</t>
  </si>
  <si>
    <t>PRD-198499</t>
  </si>
  <si>
    <t>Appliances Product 164</t>
  </si>
  <si>
    <t>NY-2017-244804</t>
  </si>
  <si>
    <t>CUST-23252</t>
  </si>
  <si>
    <t>Customer 4276</t>
  </si>
  <si>
    <t>PRD-460284</t>
  </si>
  <si>
    <t>Machines Product 111</t>
  </si>
  <si>
    <t>CA-2016-479390</t>
  </si>
  <si>
    <t>CUST-52303</t>
  </si>
  <si>
    <t>Customer 2347</t>
  </si>
  <si>
    <t>PRD-214795</t>
  </si>
  <si>
    <t>Chairs Product 169</t>
  </si>
  <si>
    <t>CA-2018-574463</t>
  </si>
  <si>
    <t>CUST-15144</t>
  </si>
  <si>
    <t>Customer 3926</t>
  </si>
  <si>
    <t>PRD-227462</t>
  </si>
  <si>
    <t>Machines Product 140</t>
  </si>
  <si>
    <t>US-2018-421783</t>
  </si>
  <si>
    <t>CUST-29370</t>
  </si>
  <si>
    <t>Customer 2821</t>
  </si>
  <si>
    <t>PRD-690543</t>
  </si>
  <si>
    <t>Tables Product 104</t>
  </si>
  <si>
    <t>CA-2016-166523</t>
  </si>
  <si>
    <t>CUST-44783</t>
  </si>
  <si>
    <t>Customer 3492</t>
  </si>
  <si>
    <t>PRD-506394</t>
  </si>
  <si>
    <t>Furnishings Product 253</t>
  </si>
  <si>
    <t>TX-2019-651992</t>
  </si>
  <si>
    <t>CUST-65697</t>
  </si>
  <si>
    <t>Customer 311</t>
  </si>
  <si>
    <t>PRD-616114</t>
  </si>
  <si>
    <t>Machines Product 32</t>
  </si>
  <si>
    <t>US-2016-118841</t>
  </si>
  <si>
    <t>CUST-50377</t>
  </si>
  <si>
    <t>Customer 2022</t>
  </si>
  <si>
    <t>PRD-231514</t>
  </si>
  <si>
    <t>Tables Product 130</t>
  </si>
  <si>
    <t>TX-2018-407749</t>
  </si>
  <si>
    <t>CUST-71526</t>
  </si>
  <si>
    <t>Customer 2692</t>
  </si>
  <si>
    <t>PRD-466638</t>
  </si>
  <si>
    <t>Chairs Product 163</t>
  </si>
  <si>
    <t>NY-2017-156549</t>
  </si>
  <si>
    <t>CUST-17809</t>
  </si>
  <si>
    <t>Customer 87</t>
  </si>
  <si>
    <t>PRD-510812</t>
  </si>
  <si>
    <t>Paper</t>
  </si>
  <si>
    <t>Paper Product 155</t>
  </si>
  <si>
    <t>TX-2019-360072</t>
  </si>
  <si>
    <t>CUST-40682</t>
  </si>
  <si>
    <t>Customer 1084</t>
  </si>
  <si>
    <t>PRD-590200</t>
  </si>
  <si>
    <t>Storage Product 64</t>
  </si>
  <si>
    <t>US-2017-929930</t>
  </si>
  <si>
    <t>CUST-95916</t>
  </si>
  <si>
    <t>Customer 4967</t>
  </si>
  <si>
    <t>PRD-173027</t>
  </si>
  <si>
    <t>Labels Product 117</t>
  </si>
  <si>
    <t>US-2018-271276</t>
  </si>
  <si>
    <t>CUST-61324</t>
  </si>
  <si>
    <t>Customer 2282</t>
  </si>
  <si>
    <t>PRD-996678</t>
  </si>
  <si>
    <t>Storage Product 217</t>
  </si>
  <si>
    <t>TX-2018-757653</t>
  </si>
  <si>
    <t>CUST-72491</t>
  </si>
  <si>
    <t>Customer 4355</t>
  </si>
  <si>
    <t>PRD-544897</t>
  </si>
  <si>
    <t>Phones Product 105</t>
  </si>
  <si>
    <t>CA-2019-852495</t>
  </si>
  <si>
    <t>CUST-54401</t>
  </si>
  <si>
    <t>Customer 1597</t>
  </si>
  <si>
    <t>PRD-612948</t>
  </si>
  <si>
    <t>Art Product 128</t>
  </si>
  <si>
    <t>TX-2017-475790</t>
  </si>
  <si>
    <t>CUST-56281</t>
  </si>
  <si>
    <t>Customer 1408</t>
  </si>
  <si>
    <t>PRD-484680</t>
  </si>
  <si>
    <t>Copiers Product 107</t>
  </si>
  <si>
    <t>TX-2017-889404</t>
  </si>
  <si>
    <t>CUST-10933</t>
  </si>
  <si>
    <t>Customer 2669</t>
  </si>
  <si>
    <t>PRD-215544</t>
  </si>
  <si>
    <t>Labels Product 224</t>
  </si>
  <si>
    <t>NY-2019-676204</t>
  </si>
  <si>
    <t>CUST-39614</t>
  </si>
  <si>
    <t>Customer 2409</t>
  </si>
  <si>
    <t>PRD-582153</t>
  </si>
  <si>
    <t>Paper Product 50</t>
  </si>
  <si>
    <t>CA-2019-327833</t>
  </si>
  <si>
    <t>CUST-36583</t>
  </si>
  <si>
    <t>Customer 2584</t>
  </si>
  <si>
    <t>PRD-761077</t>
  </si>
  <si>
    <t>Accessories Product 151</t>
  </si>
  <si>
    <t>US-2018-455660</t>
  </si>
  <si>
    <t>CUST-31578</t>
  </si>
  <si>
    <t>Customer 1787</t>
  </si>
  <si>
    <t>PRD-793328</t>
  </si>
  <si>
    <t>Machines Product 44</t>
  </si>
  <si>
    <t>NY-2016-256207</t>
  </si>
  <si>
    <t>CUST-82585</t>
  </si>
  <si>
    <t>Customer 2245</t>
  </si>
  <si>
    <t>PRD-586731</t>
  </si>
  <si>
    <t>Furnishings Product 50</t>
  </si>
  <si>
    <t>CA-2016-836769</t>
  </si>
  <si>
    <t>CUST-85529</t>
  </si>
  <si>
    <t>Customer 4964</t>
  </si>
  <si>
    <t>PRD-469638</t>
  </si>
  <si>
    <t>Furnishings Product 197</t>
  </si>
  <si>
    <t>US-2018-409137</t>
  </si>
  <si>
    <t>CUST-44346</t>
  </si>
  <si>
    <t>PRD-423840</t>
  </si>
  <si>
    <t>Bookcases Product 221</t>
  </si>
  <si>
    <t>NY-2019-610934</t>
  </si>
  <si>
    <t>CUST-39643</t>
  </si>
  <si>
    <t>Customer 3562</t>
  </si>
  <si>
    <t>PRD-623120</t>
  </si>
  <si>
    <t>Copiers Product 74</t>
  </si>
  <si>
    <t>NY-2017-709087</t>
  </si>
  <si>
    <t>CUST-36358</t>
  </si>
  <si>
    <t>Customer 515</t>
  </si>
  <si>
    <t>PRD-102331</t>
  </si>
  <si>
    <t>Furnishings Product 285</t>
  </si>
  <si>
    <t>TX-2017-408877</t>
  </si>
  <si>
    <t>CUST-89241</t>
  </si>
  <si>
    <t>Customer 4761</t>
  </si>
  <si>
    <t>PRD-709681</t>
  </si>
  <si>
    <t>Accessories Product 20</t>
  </si>
  <si>
    <t>CA-2016-973586</t>
  </si>
  <si>
    <t>CUST-17478</t>
  </si>
  <si>
    <t>Customer 4019</t>
  </si>
  <si>
    <t>PRD-835728</t>
  </si>
  <si>
    <t>Bookcases Product 235</t>
  </si>
  <si>
    <t>CA-2017-826199</t>
  </si>
  <si>
    <t>CUST-64811</t>
  </si>
  <si>
    <t>Customer 4849</t>
  </si>
  <si>
    <t>PRD-526750</t>
  </si>
  <si>
    <t>Storage Product 27</t>
  </si>
  <si>
    <t>CA-2018-919907</t>
  </si>
  <si>
    <t>CUST-89846</t>
  </si>
  <si>
    <t>Customer 2171</t>
  </si>
  <si>
    <t>PRD-289816</t>
  </si>
  <si>
    <t>Machines Product 186</t>
  </si>
  <si>
    <t>CA-2019-738256</t>
  </si>
  <si>
    <t>CUST-67130</t>
  </si>
  <si>
    <t>Customer 2663</t>
  </si>
  <si>
    <t>PRD-507616</t>
  </si>
  <si>
    <t>Binders Product 108</t>
  </si>
  <si>
    <t>US-2018-791154</t>
  </si>
  <si>
    <t>CUST-96132</t>
  </si>
  <si>
    <t>Customer 3041</t>
  </si>
  <si>
    <t>PRD-855795</t>
  </si>
  <si>
    <t>Binders Product 233</t>
  </si>
  <si>
    <t>TX-2018-681874</t>
  </si>
  <si>
    <t>CUST-15636</t>
  </si>
  <si>
    <t>Customer 4579</t>
  </si>
  <si>
    <t>PRD-813524</t>
  </si>
  <si>
    <t>Binders Product 208</t>
  </si>
  <si>
    <t>TX-2019-493284</t>
  </si>
  <si>
    <t>CUST-15982</t>
  </si>
  <si>
    <t>Customer 2005</t>
  </si>
  <si>
    <t>PRD-218279</t>
  </si>
  <si>
    <t>Labels Product 135</t>
  </si>
  <si>
    <t>TX-2017-682418</t>
  </si>
  <si>
    <t>CUST-92910</t>
  </si>
  <si>
    <t>Customer 110</t>
  </si>
  <si>
    <t>PRD-488033</t>
  </si>
  <si>
    <t>Copiers Product 220</t>
  </si>
  <si>
    <t>TX-2016-305523</t>
  </si>
  <si>
    <t>CUST-13065</t>
  </si>
  <si>
    <t>Customer 3800</t>
  </si>
  <si>
    <t>PRD-820012</t>
  </si>
  <si>
    <t>Appliances Product 89</t>
  </si>
  <si>
    <t>NY-2016-592045</t>
  </si>
  <si>
    <t>CUST-67129</t>
  </si>
  <si>
    <t>Customer 2001</t>
  </si>
  <si>
    <t>PRD-675924</t>
  </si>
  <si>
    <t>Storage Product 101</t>
  </si>
  <si>
    <t>NY-2019-821858</t>
  </si>
  <si>
    <t>CUST-96997</t>
  </si>
  <si>
    <t>Customer 592</t>
  </si>
  <si>
    <t>PRD-139982</t>
  </si>
  <si>
    <t>Accessories Product 67</t>
  </si>
  <si>
    <t>TX-2017-610555</t>
  </si>
  <si>
    <t>CUST-79240</t>
  </si>
  <si>
    <t>Customer 459</t>
  </si>
  <si>
    <t>PRD-264047</t>
  </si>
  <si>
    <t>Machines Product 63</t>
  </si>
  <si>
    <t>NY-2017-557248</t>
  </si>
  <si>
    <t>CUST-38075</t>
  </si>
  <si>
    <t>Customer 2422</t>
  </si>
  <si>
    <t>PRD-349499</t>
  </si>
  <si>
    <t>Copiers Product 42</t>
  </si>
  <si>
    <t>US-2019-672688</t>
  </si>
  <si>
    <t>CUST-63124</t>
  </si>
  <si>
    <t>Customer 2228</t>
  </si>
  <si>
    <t>PRD-139115</t>
  </si>
  <si>
    <t>Accessories Product 50</t>
  </si>
  <si>
    <t>CA-2019-156228</t>
  </si>
  <si>
    <t>CUST-56195</t>
  </si>
  <si>
    <t>Customer 3048</t>
  </si>
  <si>
    <t>PRD-737865</t>
  </si>
  <si>
    <t>Storage Product 289</t>
  </si>
  <si>
    <t>TX-2018-181062</t>
  </si>
  <si>
    <t>CUST-26224</t>
  </si>
  <si>
    <t>Customer 3719</t>
  </si>
  <si>
    <t>PRD-735286</t>
  </si>
  <si>
    <t>Bookcases Product 22</t>
  </si>
  <si>
    <t>CA-2019-300758</t>
  </si>
  <si>
    <t>CUST-76943</t>
  </si>
  <si>
    <t>Customer 4214</t>
  </si>
  <si>
    <t>PRD-964862</t>
  </si>
  <si>
    <t>TX-2019-481338</t>
  </si>
  <si>
    <t>CUST-20186</t>
  </si>
  <si>
    <t>Customer 116</t>
  </si>
  <si>
    <t>PRD-487420</t>
  </si>
  <si>
    <t>Art Product 286</t>
  </si>
  <si>
    <t>US-2019-691243</t>
  </si>
  <si>
    <t>CUST-57230</t>
  </si>
  <si>
    <t>Customer 3325</t>
  </si>
  <si>
    <t>PRD-106855</t>
  </si>
  <si>
    <t>Bookcases Product 288</t>
  </si>
  <si>
    <t>CA-2019-332266</t>
  </si>
  <si>
    <t>CUST-69303</t>
  </si>
  <si>
    <t>Customer 4371</t>
  </si>
  <si>
    <t>PRD-902476</t>
  </si>
  <si>
    <t>Machines Product 124</t>
  </si>
  <si>
    <t>CA-2017-377647</t>
  </si>
  <si>
    <t>CUST-92354</t>
  </si>
  <si>
    <t>PRD-250596</t>
  </si>
  <si>
    <t>Appliances Product 28</t>
  </si>
  <si>
    <t>TX-2017-838738</t>
  </si>
  <si>
    <t>CUST-48988</t>
  </si>
  <si>
    <t>Customer 1991</t>
  </si>
  <si>
    <t>PRD-355086</t>
  </si>
  <si>
    <t>Machines Product 277</t>
  </si>
  <si>
    <t>US-2017-678767</t>
  </si>
  <si>
    <t>CUST-29631</t>
  </si>
  <si>
    <t>Customer 29</t>
  </si>
  <si>
    <t>PRD-728131</t>
  </si>
  <si>
    <t>Binders Product 268</t>
  </si>
  <si>
    <t>TX-2018-563615</t>
  </si>
  <si>
    <t>CUST-26313</t>
  </si>
  <si>
    <t>Customer 4559</t>
  </si>
  <si>
    <t>PRD-996378</t>
  </si>
  <si>
    <t>Furnishings Product 217</t>
  </si>
  <si>
    <t>NY-2019-818137</t>
  </si>
  <si>
    <t>CUST-18833</t>
  </si>
  <si>
    <t>Customer 3559</t>
  </si>
  <si>
    <t>PRD-966679</t>
  </si>
  <si>
    <t>Tables Product 262</t>
  </si>
  <si>
    <t>NY-2017-451964</t>
  </si>
  <si>
    <t>CUST-70841</t>
  </si>
  <si>
    <t>Customer 3501</t>
  </si>
  <si>
    <t>PRD-224440</t>
  </si>
  <si>
    <t>Copiers Product 111</t>
  </si>
  <si>
    <t>TX-2017-922163</t>
  </si>
  <si>
    <t>CUST-95746</t>
  </si>
  <si>
    <t>Customer 2140</t>
  </si>
  <si>
    <t>PRD-692184</t>
  </si>
  <si>
    <t>Accessories Product 246</t>
  </si>
  <si>
    <t>TX-2019-406995</t>
  </si>
  <si>
    <t>CUST-28825</t>
  </si>
  <si>
    <t>Customer 3336</t>
  </si>
  <si>
    <t>PRD-939420</t>
  </si>
  <si>
    <t>Labels Product 44</t>
  </si>
  <si>
    <t>CA-2019-781157</t>
  </si>
  <si>
    <t>CUST-76622</t>
  </si>
  <si>
    <t>Customer 2842</t>
  </si>
  <si>
    <t>PRD-415932</t>
  </si>
  <si>
    <t>Chairs Product 193</t>
  </si>
  <si>
    <t>NY-2017-323657</t>
  </si>
  <si>
    <t>CUST-49830</t>
  </si>
  <si>
    <t>Customer 2101</t>
  </si>
  <si>
    <t>PRD-688962</t>
  </si>
  <si>
    <t>Paper Product 215</t>
  </si>
  <si>
    <t>CA-2018-520321</t>
  </si>
  <si>
    <t>CUST-26704</t>
  </si>
  <si>
    <t>Customer 3107</t>
  </si>
  <si>
    <t>PRD-519429</t>
  </si>
  <si>
    <t>Binders Product 130</t>
  </si>
  <si>
    <t>US-2019-452460</t>
  </si>
  <si>
    <t>CUST-48671</t>
  </si>
  <si>
    <t>Customer 723</t>
  </si>
  <si>
    <t>PRD-469089</t>
  </si>
  <si>
    <t>Furnishings Product 107</t>
  </si>
  <si>
    <t>TX-2018-333326</t>
  </si>
  <si>
    <t>CUST-46106</t>
  </si>
  <si>
    <t>Customer 2318</t>
  </si>
  <si>
    <t>PRD-965251</t>
  </si>
  <si>
    <t>Copiers Product 2</t>
  </si>
  <si>
    <t>US-2018-813688</t>
  </si>
  <si>
    <t>CUST-41213</t>
  </si>
  <si>
    <t>Customer 3678</t>
  </si>
  <si>
    <t>PRD-135296</t>
  </si>
  <si>
    <t>Machines Product 94</t>
  </si>
  <si>
    <t>CA-2016-931330</t>
  </si>
  <si>
    <t>CUST-46124</t>
  </si>
  <si>
    <t>Customer 578</t>
  </si>
  <si>
    <t>PRD-137313</t>
  </si>
  <si>
    <t>Machines Product 178</t>
  </si>
  <si>
    <t>TX-2017-996374</t>
  </si>
  <si>
    <t>CUST-41586</t>
  </si>
  <si>
    <t>Customer 1524</t>
  </si>
  <si>
    <t>PRD-823176</t>
  </si>
  <si>
    <t>Chairs Product 282</t>
  </si>
  <si>
    <t>NY-2018-702954</t>
  </si>
  <si>
    <t>CUST-86086</t>
  </si>
  <si>
    <t>Customer 524</t>
  </si>
  <si>
    <t>PRD-315448</t>
  </si>
  <si>
    <t>CA-2017-452365</t>
  </si>
  <si>
    <t>CUST-15983</t>
  </si>
  <si>
    <t>PRD-868560</t>
  </si>
  <si>
    <t>Chairs Product 114</t>
  </si>
  <si>
    <t>CA-2018-937855</t>
  </si>
  <si>
    <t>CUST-47459</t>
  </si>
  <si>
    <t>Customer 1467</t>
  </si>
  <si>
    <t>PRD-271553</t>
  </si>
  <si>
    <t>Bookcases Product 247</t>
  </si>
  <si>
    <t>TX-2018-471509</t>
  </si>
  <si>
    <t>CUST-58591</t>
  </si>
  <si>
    <t>Customer 3424</t>
  </si>
  <si>
    <t>PRD-471330</t>
  </si>
  <si>
    <t>Accessories Product 248</t>
  </si>
  <si>
    <t>TX-2017-438968</t>
  </si>
  <si>
    <t>CUST-75866</t>
  </si>
  <si>
    <t>Customer 231</t>
  </si>
  <si>
    <t>PRD-730457</t>
  </si>
  <si>
    <t>Furnishings Product 172</t>
  </si>
  <si>
    <t>US-2018-210369</t>
  </si>
  <si>
    <t>CUST-71820</t>
  </si>
  <si>
    <t>Customer 2309</t>
  </si>
  <si>
    <t>PRD-819798</t>
  </si>
  <si>
    <t>Bookcases Product 160</t>
  </si>
  <si>
    <t>NY-2017-891865</t>
  </si>
  <si>
    <t>CUST-29225</t>
  </si>
  <si>
    <t>Customer 3134</t>
  </si>
  <si>
    <t>PRD-886407</t>
  </si>
  <si>
    <t>Binders Product 60</t>
  </si>
  <si>
    <t>CA-2018-851114</t>
  </si>
  <si>
    <t>CUST-68389</t>
  </si>
  <si>
    <t>Customer 950</t>
  </si>
  <si>
    <t>PRD-875445</t>
  </si>
  <si>
    <t>Accessories Product 109</t>
  </si>
  <si>
    <t>TX-2018-405301</t>
  </si>
  <si>
    <t>CUST-22173</t>
  </si>
  <si>
    <t>Customer 3434</t>
  </si>
  <si>
    <t>PRD-196542</t>
  </si>
  <si>
    <t>Machines Product 86</t>
  </si>
  <si>
    <t>NY-2017-488957</t>
  </si>
  <si>
    <t>CUST-62003</t>
  </si>
  <si>
    <t>Customer 1802</t>
  </si>
  <si>
    <t>PRD-378561</t>
  </si>
  <si>
    <t>Bookcases Product 24</t>
  </si>
  <si>
    <t>US-2019-226552</t>
  </si>
  <si>
    <t>CUST-51957</t>
  </si>
  <si>
    <t>Customer 828</t>
  </si>
  <si>
    <t>PRD-856431</t>
  </si>
  <si>
    <t>Bookcases Product 144</t>
  </si>
  <si>
    <t>CA-2017-378801</t>
  </si>
  <si>
    <t>CUST-22896</t>
  </si>
  <si>
    <t>Customer 395</t>
  </si>
  <si>
    <t>PRD-774423</t>
  </si>
  <si>
    <t>Phones Product 32</t>
  </si>
  <si>
    <t>TX-2019-851409</t>
  </si>
  <si>
    <t>CUST-51345</t>
  </si>
  <si>
    <t>PRD-585631</t>
  </si>
  <si>
    <t>Binders Product 265</t>
  </si>
  <si>
    <t>TX-2018-466148</t>
  </si>
  <si>
    <t>CUST-30596</t>
  </si>
  <si>
    <t>Customer 1265</t>
  </si>
  <si>
    <t>PRD-747884</t>
  </si>
  <si>
    <t>Bookcases Product 259</t>
  </si>
  <si>
    <t>NY-2018-495024</t>
  </si>
  <si>
    <t>CUST-21199</t>
  </si>
  <si>
    <t>Customer 2359</t>
  </si>
  <si>
    <t>PRD-295782</t>
  </si>
  <si>
    <t>TX-2017-117086</t>
  </si>
  <si>
    <t>CUST-79853</t>
  </si>
  <si>
    <t>Customer 2936</t>
  </si>
  <si>
    <t>PRD-356611</t>
  </si>
  <si>
    <t>Bookcases Product 188</t>
  </si>
  <si>
    <t>TX-2018-978604</t>
  </si>
  <si>
    <t>CUST-34825</t>
  </si>
  <si>
    <t>Customer 872</t>
  </si>
  <si>
    <t>PRD-929101</t>
  </si>
  <si>
    <t>Storage Product 156</t>
  </si>
  <si>
    <t>NY-2017-684476</t>
  </si>
  <si>
    <t>CUST-85657</t>
  </si>
  <si>
    <t>Customer 1126</t>
  </si>
  <si>
    <t>PRD-414604</t>
  </si>
  <si>
    <t>Storage Product 152</t>
  </si>
  <si>
    <t>CA-2019-505713</t>
  </si>
  <si>
    <t>CUST-94896</t>
  </si>
  <si>
    <t>Customer 142</t>
  </si>
  <si>
    <t>PRD-603651</t>
  </si>
  <si>
    <t>Storage Product 227</t>
  </si>
  <si>
    <t>US-2018-786621</t>
  </si>
  <si>
    <t>CUST-15086</t>
  </si>
  <si>
    <t>Customer 1358</t>
  </si>
  <si>
    <t>PRD-643114</t>
  </si>
  <si>
    <t>Chairs Product 272</t>
  </si>
  <si>
    <t>CA-2016-542675</t>
  </si>
  <si>
    <t>CUST-95322</t>
  </si>
  <si>
    <t>Customer 1737</t>
  </si>
  <si>
    <t>PRD-757810</t>
  </si>
  <si>
    <t>Art Product 121</t>
  </si>
  <si>
    <t>TX-2018-819278</t>
  </si>
  <si>
    <t>CUST-43159</t>
  </si>
  <si>
    <t>Customer 205</t>
  </si>
  <si>
    <t>PRD-738985</t>
  </si>
  <si>
    <t>CA-2016-523001</t>
  </si>
  <si>
    <t>CUST-58233</t>
  </si>
  <si>
    <t>PRD-125069</t>
  </si>
  <si>
    <t>Phones Product 294</t>
  </si>
  <si>
    <t>NY-2016-370688</t>
  </si>
  <si>
    <t>CUST-15136</t>
  </si>
  <si>
    <t>Customer 2230</t>
  </si>
  <si>
    <t>PRD-174128</t>
  </si>
  <si>
    <t>Phones Product 120</t>
  </si>
  <si>
    <t>NY-2016-744961</t>
  </si>
  <si>
    <t>CUST-57618</t>
  </si>
  <si>
    <t>Customer 2752</t>
  </si>
  <si>
    <t>PRD-885860</t>
  </si>
  <si>
    <t>Bookcases Product 263</t>
  </si>
  <si>
    <t>US-2016-751586</t>
  </si>
  <si>
    <t>CUST-79559</t>
  </si>
  <si>
    <t>Customer 4528</t>
  </si>
  <si>
    <t>PRD-860205</t>
  </si>
  <si>
    <t>Labels Product 165</t>
  </si>
  <si>
    <t>NY-2019-421524</t>
  </si>
  <si>
    <t>CUST-77345</t>
  </si>
  <si>
    <t>Customer 3897</t>
  </si>
  <si>
    <t>PRD-548583</t>
  </si>
  <si>
    <t>Copiers Product 53</t>
  </si>
  <si>
    <t>US-2019-138219</t>
  </si>
  <si>
    <t>CUST-57002</t>
  </si>
  <si>
    <t>Customer 1536</t>
  </si>
  <si>
    <t>PRD-153518</t>
  </si>
  <si>
    <t>Bookcases Product 202</t>
  </si>
  <si>
    <t>TX-2016-251014</t>
  </si>
  <si>
    <t>CUST-17172</t>
  </si>
  <si>
    <t>Customer 1791</t>
  </si>
  <si>
    <t>PRD-620717</t>
  </si>
  <si>
    <t>Phones Product 106</t>
  </si>
  <si>
    <t>NY-2019-684659</t>
  </si>
  <si>
    <t>CUST-40084</t>
  </si>
  <si>
    <t>Customer 651</t>
  </si>
  <si>
    <t>PRD-458323</t>
  </si>
  <si>
    <t>Phones Product 237</t>
  </si>
  <si>
    <t>CA-2017-266413</t>
  </si>
  <si>
    <t>CUST-33516</t>
  </si>
  <si>
    <t>Customer 926</t>
  </si>
  <si>
    <t>PRD-489712</t>
  </si>
  <si>
    <t>Appliances Product 273</t>
  </si>
  <si>
    <t>CA-2016-260231</t>
  </si>
  <si>
    <t>CUST-63849</t>
  </si>
  <si>
    <t>Customer 805</t>
  </si>
  <si>
    <t>PRD-831472</t>
  </si>
  <si>
    <t>Storage Product 4</t>
  </si>
  <si>
    <t>US-2019-432072</t>
  </si>
  <si>
    <t>CUST-98998</t>
  </si>
  <si>
    <t>Customer 4498</t>
  </si>
  <si>
    <t>PRD-342904</t>
  </si>
  <si>
    <t>TX-2016-621796</t>
  </si>
  <si>
    <t>Customer 1116</t>
  </si>
  <si>
    <t>PRD-601159</t>
  </si>
  <si>
    <t>Copiers Product 99</t>
  </si>
  <si>
    <t>CA-2018-544190</t>
  </si>
  <si>
    <t>CUST-16425</t>
  </si>
  <si>
    <t>Customer 675</t>
  </si>
  <si>
    <t>PRD-352647</t>
  </si>
  <si>
    <t>Paper Product 280</t>
  </si>
  <si>
    <t>US-2019-606066</t>
  </si>
  <si>
    <t>CUST-80004</t>
  </si>
  <si>
    <t>Customer 2519</t>
  </si>
  <si>
    <t>PRD-989681</t>
  </si>
  <si>
    <t>Chairs Product 121</t>
  </si>
  <si>
    <t>CA-2017-365650</t>
  </si>
  <si>
    <t>CUST-47055</t>
  </si>
  <si>
    <t>Customer 3445</t>
  </si>
  <si>
    <t>PRD-514970</t>
  </si>
  <si>
    <t>Binders Product 7</t>
  </si>
  <si>
    <t>NY-2016-644361</t>
  </si>
  <si>
    <t>CUST-14459</t>
  </si>
  <si>
    <t>Customer 849</t>
  </si>
  <si>
    <t>PRD-361844</t>
  </si>
  <si>
    <t>Chairs Product 180</t>
  </si>
  <si>
    <t>US-2019-952801</t>
  </si>
  <si>
    <t>CUST-89008</t>
  </si>
  <si>
    <t>Customer 2098</t>
  </si>
  <si>
    <t>PRD-941559</t>
  </si>
  <si>
    <t>Paper Product 58</t>
  </si>
  <si>
    <t>TX-2019-313902</t>
  </si>
  <si>
    <t>CUST-44962</t>
  </si>
  <si>
    <t>Customer 1195</t>
  </si>
  <si>
    <t>PRD-179676</t>
  </si>
  <si>
    <t>Appliances Product 202</t>
  </si>
  <si>
    <t>NY-2016-100005</t>
  </si>
  <si>
    <t>CUST-20951</t>
  </si>
  <si>
    <t>Customer 2804</t>
  </si>
  <si>
    <t>PRD-688057</t>
  </si>
  <si>
    <t>Furnishings Product 145</t>
  </si>
  <si>
    <t>NY-2016-666367</t>
  </si>
  <si>
    <t>CUST-66612</t>
  </si>
  <si>
    <t>Customer 50</t>
  </si>
  <si>
    <t>PRD-835216</t>
  </si>
  <si>
    <t>Paper Product 41</t>
  </si>
  <si>
    <t>NY-2017-753319</t>
  </si>
  <si>
    <t>CUST-33027</t>
  </si>
  <si>
    <t>PRD-522708</t>
  </si>
  <si>
    <t>Binders Product 143</t>
  </si>
  <si>
    <t>US-2019-662924</t>
  </si>
  <si>
    <t>CUST-77771</t>
  </si>
  <si>
    <t>Customer 2229</t>
  </si>
  <si>
    <t>PRD-646698</t>
  </si>
  <si>
    <t>Copiers Product 212</t>
  </si>
  <si>
    <t>CA-2019-453105</t>
  </si>
  <si>
    <t>CUST-72259</t>
  </si>
  <si>
    <t>PRD-644265</t>
  </si>
  <si>
    <t>Furnishings Product 180</t>
  </si>
  <si>
    <t>CA-2018-472203</t>
  </si>
  <si>
    <t>CUST-87188</t>
  </si>
  <si>
    <t>Customer 1070</t>
  </si>
  <si>
    <t>PRD-872819</t>
  </si>
  <si>
    <t>Art Product 278</t>
  </si>
  <si>
    <t>CA-2019-488346</t>
  </si>
  <si>
    <t>CUST-60599</t>
  </si>
  <si>
    <t>Customer 1673</t>
  </si>
  <si>
    <t>PRD-775614</t>
  </si>
  <si>
    <t>Copiers Product 239</t>
  </si>
  <si>
    <t>TX-2019-408494</t>
  </si>
  <si>
    <t>CUST-13285</t>
  </si>
  <si>
    <t>Customer 4104</t>
  </si>
  <si>
    <t>PRD-488919</t>
  </si>
  <si>
    <t>Accessories Product 291</t>
  </si>
  <si>
    <t>US-2017-502324</t>
  </si>
  <si>
    <t>CUST-73788</t>
  </si>
  <si>
    <t>Customer 3002</t>
  </si>
  <si>
    <t>PRD-769919</t>
  </si>
  <si>
    <t>Copiers Product 154</t>
  </si>
  <si>
    <t>US-2017-168268</t>
  </si>
  <si>
    <t>CUST-59259</t>
  </si>
  <si>
    <t>Customer 2619</t>
  </si>
  <si>
    <t>PRD-919813</t>
  </si>
  <si>
    <t>Phones Product 246</t>
  </si>
  <si>
    <t>TX-2018-649351</t>
  </si>
  <si>
    <t>CUST-61663</t>
  </si>
  <si>
    <t>Customer 138</t>
  </si>
  <si>
    <t>PRD-280727</t>
  </si>
  <si>
    <t>Furnishings Product 152</t>
  </si>
  <si>
    <t>CA-2019-645884</t>
  </si>
  <si>
    <t>CUST-67296</t>
  </si>
  <si>
    <t>Customer 4011</t>
  </si>
  <si>
    <t>PRD-190953</t>
  </si>
  <si>
    <t>Binders Product 70</t>
  </si>
  <si>
    <t>CA-2019-174697</t>
  </si>
  <si>
    <t>CUST-45175</t>
  </si>
  <si>
    <t>Customer 4881</t>
  </si>
  <si>
    <t>PRD-120234</t>
  </si>
  <si>
    <t>Phones Product 43</t>
  </si>
  <si>
    <t>CA-2018-167720</t>
  </si>
  <si>
    <t>CUST-39432</t>
  </si>
  <si>
    <t>Customer 2603</t>
  </si>
  <si>
    <t>PRD-144771</t>
  </si>
  <si>
    <t>Storage Product 28</t>
  </si>
  <si>
    <t>US-2016-166271</t>
  </si>
  <si>
    <t>CUST-38433</t>
  </si>
  <si>
    <t>Customer 3280</t>
  </si>
  <si>
    <t>PRD-213948</t>
  </si>
  <si>
    <t>Machines Product 64</t>
  </si>
  <si>
    <t>TX-2017-226485</t>
  </si>
  <si>
    <t>CUST-91411</t>
  </si>
  <si>
    <t>Customer 2548</t>
  </si>
  <si>
    <t>PRD-207663</t>
  </si>
  <si>
    <t>Binders Product 59</t>
  </si>
  <si>
    <t>CA-2017-962186</t>
  </si>
  <si>
    <t>CUST-22563</t>
  </si>
  <si>
    <t>Customer 2855</t>
  </si>
  <si>
    <t>PRD-201583</t>
  </si>
  <si>
    <t>Labels Product 196</t>
  </si>
  <si>
    <t>TX-2019-747764</t>
  </si>
  <si>
    <t>CUST-55151</t>
  </si>
  <si>
    <t>Customer 1119</t>
  </si>
  <si>
    <t>PRD-665768</t>
  </si>
  <si>
    <t>Appliances Product 107</t>
  </si>
  <si>
    <t>TX-2017-913157</t>
  </si>
  <si>
    <t>CUST-50617</t>
  </si>
  <si>
    <t>Customer 1761</t>
  </si>
  <si>
    <t>PRD-296835</t>
  </si>
  <si>
    <t>Storage Product 50</t>
  </si>
  <si>
    <t>CA-2016-688699</t>
  </si>
  <si>
    <t>CUST-75620</t>
  </si>
  <si>
    <t>Customer 4598</t>
  </si>
  <si>
    <t>PRD-921235</t>
  </si>
  <si>
    <t>Machines Product 181</t>
  </si>
  <si>
    <t>US-2019-418302</t>
  </si>
  <si>
    <t>CUST-86432</t>
  </si>
  <si>
    <t>PRD-145469</t>
  </si>
  <si>
    <t>Tables Product 206</t>
  </si>
  <si>
    <t>CA-2017-198009</t>
  </si>
  <si>
    <t>CUST-81643</t>
  </si>
  <si>
    <t>Customer 1589</t>
  </si>
  <si>
    <t>PRD-810236</t>
  </si>
  <si>
    <t>Machines Product 242</t>
  </si>
  <si>
    <t>CA-2016-147486</t>
  </si>
  <si>
    <t>CUST-89461</t>
  </si>
  <si>
    <t>Customer 1380</t>
  </si>
  <si>
    <t>PRD-774250</t>
  </si>
  <si>
    <t>Art Product 126</t>
  </si>
  <si>
    <t>CA-2016-276746</t>
  </si>
  <si>
    <t>CUST-92262</t>
  </si>
  <si>
    <t>Customer 3155</t>
  </si>
  <si>
    <t>PRD-842430</t>
  </si>
  <si>
    <t>Copiers Product 103</t>
  </si>
  <si>
    <t>US-2019-181799</t>
  </si>
  <si>
    <t>CUST-37075</t>
  </si>
  <si>
    <t>PRD-216885</t>
  </si>
  <si>
    <t>Paper Product 220</t>
  </si>
  <si>
    <t>US-2018-382420</t>
  </si>
  <si>
    <t>CUST-10105</t>
  </si>
  <si>
    <t>Customer 785</t>
  </si>
  <si>
    <t>PRD-253295</t>
  </si>
  <si>
    <t>Phones Product 152</t>
  </si>
  <si>
    <t>US-2019-479355</t>
  </si>
  <si>
    <t>CUST-74507</t>
  </si>
  <si>
    <t>Customer 2805</t>
  </si>
  <si>
    <t>PRD-282255</t>
  </si>
  <si>
    <t>Paper Product 75</t>
  </si>
  <si>
    <t>TX-2018-993238</t>
  </si>
  <si>
    <t>CUST-97601</t>
  </si>
  <si>
    <t>Customer 4449</t>
  </si>
  <si>
    <t>PRD-644139</t>
  </si>
  <si>
    <t>Appliances Product 41</t>
  </si>
  <si>
    <t>US-2019-966102</t>
  </si>
  <si>
    <t>CUST-26199</t>
  </si>
  <si>
    <t>Customer 2572</t>
  </si>
  <si>
    <t>PRD-241386</t>
  </si>
  <si>
    <t>Appliances Product 268</t>
  </si>
  <si>
    <t>US-2018-276783</t>
  </si>
  <si>
    <t>CUST-39722</t>
  </si>
  <si>
    <t>Customer 3809</t>
  </si>
  <si>
    <t>PRD-425109</t>
  </si>
  <si>
    <t>Appliances Product 11</t>
  </si>
  <si>
    <t>CA-2017-380446</t>
  </si>
  <si>
    <t>CUST-14430</t>
  </si>
  <si>
    <t>Customer 1160</t>
  </si>
  <si>
    <t>PRD-204937</t>
  </si>
  <si>
    <t>Tables Product 87</t>
  </si>
  <si>
    <t>US-2018-121289</t>
  </si>
  <si>
    <t>CUST-52034</t>
  </si>
  <si>
    <t>Customer 2167</t>
  </si>
  <si>
    <t>PRD-506679</t>
  </si>
  <si>
    <t>Accessories Product 253</t>
  </si>
  <si>
    <t>TX-2019-303059</t>
  </si>
  <si>
    <t>CUST-24327</t>
  </si>
  <si>
    <t>Customer 4366</t>
  </si>
  <si>
    <t>PRD-970075</t>
  </si>
  <si>
    <t>Paper Product 7</t>
  </si>
  <si>
    <t>TX-2016-852277</t>
  </si>
  <si>
    <t>CUST-71309</t>
  </si>
  <si>
    <t>Customer 3547</t>
  </si>
  <si>
    <t>PRD-314696</t>
  </si>
  <si>
    <t>Chairs Product 289</t>
  </si>
  <si>
    <t>US-2019-722035</t>
  </si>
  <si>
    <t>CUST-52489</t>
  </si>
  <si>
    <t>Customer 1240</t>
  </si>
  <si>
    <t>PRD-118903</t>
  </si>
  <si>
    <t>Bookcases Product 82</t>
  </si>
  <si>
    <t>TX-2016-884911</t>
  </si>
  <si>
    <t>CUST-79557</t>
  </si>
  <si>
    <t>Customer 4359</t>
  </si>
  <si>
    <t>PRD-366030</t>
  </si>
  <si>
    <t>Chairs Product 80</t>
  </si>
  <si>
    <t>TX-2017-412561</t>
  </si>
  <si>
    <t>CUST-55699</t>
  </si>
  <si>
    <t>Customer 2004</t>
  </si>
  <si>
    <t>PRD-167066</t>
  </si>
  <si>
    <t>Tables Product 267</t>
  </si>
  <si>
    <t>TX-2018-713130</t>
  </si>
  <si>
    <t>CUST-76198</t>
  </si>
  <si>
    <t>Customer 2367</t>
  </si>
  <si>
    <t>PRD-832601</t>
  </si>
  <si>
    <t>US-2017-179070</t>
  </si>
  <si>
    <t>CUST-53640</t>
  </si>
  <si>
    <t>Customer 3622</t>
  </si>
  <si>
    <t>PRD-691785</t>
  </si>
  <si>
    <t>Tables Product 145</t>
  </si>
  <si>
    <t>TX-2017-609724</t>
  </si>
  <si>
    <t>CUST-67882</t>
  </si>
  <si>
    <t>Customer 585</t>
  </si>
  <si>
    <t>PRD-749597</t>
  </si>
  <si>
    <t>Tables Product 179</t>
  </si>
  <si>
    <t>US-2017-762789</t>
  </si>
  <si>
    <t>CUST-75742</t>
  </si>
  <si>
    <t>Customer 897</t>
  </si>
  <si>
    <t>PRD-822489</t>
  </si>
  <si>
    <t>Phones Product 78</t>
  </si>
  <si>
    <t>US-2016-829241</t>
  </si>
  <si>
    <t>CUST-15065</t>
  </si>
  <si>
    <t>Customer 1352</t>
  </si>
  <si>
    <t>PRD-543269</t>
  </si>
  <si>
    <t>Paper Product 166</t>
  </si>
  <si>
    <t>TX-2017-807454</t>
  </si>
  <si>
    <t>CUST-57550</t>
  </si>
  <si>
    <t>Customer 2163</t>
  </si>
  <si>
    <t>PRD-914715</t>
  </si>
  <si>
    <t>Appliances Product 237</t>
  </si>
  <si>
    <t>NY-2018-839832</t>
  </si>
  <si>
    <t>CUST-36119</t>
  </si>
  <si>
    <t>Customer 4706</t>
  </si>
  <si>
    <t>PRD-103069</t>
  </si>
  <si>
    <t>Tables Product 7</t>
  </si>
  <si>
    <t>TX-2017-887973</t>
  </si>
  <si>
    <t>CUST-93351</t>
  </si>
  <si>
    <t>Customer 1893</t>
  </si>
  <si>
    <t>PRD-481948</t>
  </si>
  <si>
    <t>Art Product 114</t>
  </si>
  <si>
    <t>US-2018-221407</t>
  </si>
  <si>
    <t>CUST-68411</t>
  </si>
  <si>
    <t>Customer 4081</t>
  </si>
  <si>
    <t>PRD-167137</t>
  </si>
  <si>
    <t>Bookcases Product 140</t>
  </si>
  <si>
    <t>US-2016-488178</t>
  </si>
  <si>
    <t>CUST-71774</t>
  </si>
  <si>
    <t>Customer 968</t>
  </si>
  <si>
    <t>PRD-640643</t>
  </si>
  <si>
    <t>Machines Product 62</t>
  </si>
  <si>
    <t>TX-2018-517463</t>
  </si>
  <si>
    <t>CUST-78092</t>
  </si>
  <si>
    <t>Customer 1968</t>
  </si>
  <si>
    <t>PRD-917501</t>
  </si>
  <si>
    <t>Appliances Product 294</t>
  </si>
  <si>
    <t>US-2016-656315</t>
  </si>
  <si>
    <t>CUST-52907</t>
  </si>
  <si>
    <t>Customer 2828</t>
  </si>
  <si>
    <t>PRD-448708</t>
  </si>
  <si>
    <t>Appliances Product 266</t>
  </si>
  <si>
    <t>US-2017-231614</t>
  </si>
  <si>
    <t>CUST-97365</t>
  </si>
  <si>
    <t>Customer 1587</t>
  </si>
  <si>
    <t>PRD-997497</t>
  </si>
  <si>
    <t>Paper Product 157</t>
  </si>
  <si>
    <t>US-2016-953166</t>
  </si>
  <si>
    <t>CUST-16870</t>
  </si>
  <si>
    <t>Customer 3458</t>
  </si>
  <si>
    <t>PRD-147390</t>
  </si>
  <si>
    <t>Phones Product 212</t>
  </si>
  <si>
    <t>TX-2017-463635</t>
  </si>
  <si>
    <t>CUST-35090</t>
  </si>
  <si>
    <t>Customer 322</t>
  </si>
  <si>
    <t>PRD-384968</t>
  </si>
  <si>
    <t>Art Product 171</t>
  </si>
  <si>
    <t>US-2017-237376</t>
  </si>
  <si>
    <t>CUST-92626</t>
  </si>
  <si>
    <t>Customer 1847</t>
  </si>
  <si>
    <t>PRD-709221</t>
  </si>
  <si>
    <t>Copiers Product 235</t>
  </si>
  <si>
    <t>CA-2016-181040</t>
  </si>
  <si>
    <t>CUST-73833</t>
  </si>
  <si>
    <t>Customer 3345</t>
  </si>
  <si>
    <t>PRD-705368</t>
  </si>
  <si>
    <t>Copiers Product 217</t>
  </si>
  <si>
    <t>TX-2018-616251</t>
  </si>
  <si>
    <t>CUST-38293</t>
  </si>
  <si>
    <t>Customer 3024</t>
  </si>
  <si>
    <t>PRD-697948</t>
  </si>
  <si>
    <t>Storage Product 151</t>
  </si>
  <si>
    <t>TX-2018-104537</t>
  </si>
  <si>
    <t>CUST-93650</t>
  </si>
  <si>
    <t>Customer 3715</t>
  </si>
  <si>
    <t>PRD-819442</t>
  </si>
  <si>
    <t>Chairs Product 51</t>
  </si>
  <si>
    <t>US-2019-592739</t>
  </si>
  <si>
    <t>CUST-42421</t>
  </si>
  <si>
    <t>Customer 870</t>
  </si>
  <si>
    <t>PRD-171917</t>
  </si>
  <si>
    <t>Accessories Product 45</t>
  </si>
  <si>
    <t>CA-2019-476645</t>
  </si>
  <si>
    <t>CUST-96824</t>
  </si>
  <si>
    <t>Customer 1008</t>
  </si>
  <si>
    <t>PRD-905329</t>
  </si>
  <si>
    <t>Accessories Product 102</t>
  </si>
  <si>
    <t>NY-2019-127749</t>
  </si>
  <si>
    <t>CUST-55312</t>
  </si>
  <si>
    <t>Customer 3286</t>
  </si>
  <si>
    <t>PRD-634152</t>
  </si>
  <si>
    <t>Binders Product 110</t>
  </si>
  <si>
    <t>CA-2016-460568</t>
  </si>
  <si>
    <t>CUST-71091</t>
  </si>
  <si>
    <t>Customer 2617</t>
  </si>
  <si>
    <t>PRD-251019</t>
  </si>
  <si>
    <t>Accessories Product 59</t>
  </si>
  <si>
    <t>TX-2017-474437</t>
  </si>
  <si>
    <t>CUST-89456</t>
  </si>
  <si>
    <t>Customer 1552</t>
  </si>
  <si>
    <t>PRD-464626</t>
  </si>
  <si>
    <t>Phones Product 292</t>
  </si>
  <si>
    <t>CA-2019-495274</t>
  </si>
  <si>
    <t>CUST-89771</t>
  </si>
  <si>
    <t>Customer 171</t>
  </si>
  <si>
    <t>PRD-936767</t>
  </si>
  <si>
    <t>Phones Product 4</t>
  </si>
  <si>
    <t>US-2019-884367</t>
  </si>
  <si>
    <t>CUST-44956</t>
  </si>
  <si>
    <t>Customer 4563</t>
  </si>
  <si>
    <t>PRD-476730</t>
  </si>
  <si>
    <t>Labels Product 182</t>
  </si>
  <si>
    <t>NY-2016-537080</t>
  </si>
  <si>
    <t>CUST-98346</t>
  </si>
  <si>
    <t>Customer 815</t>
  </si>
  <si>
    <t>PRD-999621</t>
  </si>
  <si>
    <t>Chairs Product 130</t>
  </si>
  <si>
    <t>CA-2019-884733</t>
  </si>
  <si>
    <t>CUST-91061</t>
  </si>
  <si>
    <t>Customer 3659</t>
  </si>
  <si>
    <t>PRD-848205</t>
  </si>
  <si>
    <t>NY-2018-669926</t>
  </si>
  <si>
    <t>CUST-82582</t>
  </si>
  <si>
    <t>Customer 851</t>
  </si>
  <si>
    <t>PRD-336972</t>
  </si>
  <si>
    <t>Art Product 191</t>
  </si>
  <si>
    <t>NY-2018-107079</t>
  </si>
  <si>
    <t>CUST-30454</t>
  </si>
  <si>
    <t>Customer 1230</t>
  </si>
  <si>
    <t>PRD-599400</t>
  </si>
  <si>
    <t>Binders Product 197</t>
  </si>
  <si>
    <t>CA-2019-851087</t>
  </si>
  <si>
    <t>CUST-14027</t>
  </si>
  <si>
    <t>Customer 4690</t>
  </si>
  <si>
    <t>PRD-255353</t>
  </si>
  <si>
    <t>Tables Product 228</t>
  </si>
  <si>
    <t>NY-2017-203657</t>
  </si>
  <si>
    <t>CUST-17163</t>
  </si>
  <si>
    <t>Customer 1228</t>
  </si>
  <si>
    <t>PRD-379665</t>
  </si>
  <si>
    <t>Machines Product 215</t>
  </si>
  <si>
    <t>NY-2018-408791</t>
  </si>
  <si>
    <t>CUST-66363</t>
  </si>
  <si>
    <t>Customer 1530</t>
  </si>
  <si>
    <t>PRD-277049</t>
  </si>
  <si>
    <t>Machines Product 281</t>
  </si>
  <si>
    <t>CA-2017-274400</t>
  </si>
  <si>
    <t>CUST-26903</t>
  </si>
  <si>
    <t>Customer 428</t>
  </si>
  <si>
    <t>PRD-159494</t>
  </si>
  <si>
    <t>Phones Product 12</t>
  </si>
  <si>
    <t>NY-2017-325238</t>
  </si>
  <si>
    <t>CUST-92170</t>
  </si>
  <si>
    <t>Customer 4119</t>
  </si>
  <si>
    <t>PRD-520513</t>
  </si>
  <si>
    <t>Bookcases Product 146</t>
  </si>
  <si>
    <t>CA-2017-129169</t>
  </si>
  <si>
    <t>CUST-15926</t>
  </si>
  <si>
    <t>Customer 3228</t>
  </si>
  <si>
    <t>PRD-550751</t>
  </si>
  <si>
    <t>Binders Product 170</t>
  </si>
  <si>
    <t>US-2016-771426</t>
  </si>
  <si>
    <t>CUST-91539</t>
  </si>
  <si>
    <t>Customer 1712</t>
  </si>
  <si>
    <t>PRD-773028</t>
  </si>
  <si>
    <t>Art Product 127</t>
  </si>
  <si>
    <t>CA-2018-998281</t>
  </si>
  <si>
    <t>CUST-16160</t>
  </si>
  <si>
    <t>Customer 1049</t>
  </si>
  <si>
    <t>PRD-890081</t>
  </si>
  <si>
    <t>Bookcases Product 118</t>
  </si>
  <si>
    <t>TX-2017-678664</t>
  </si>
  <si>
    <t>CUST-62374</t>
  </si>
  <si>
    <t>Customer 3955</t>
  </si>
  <si>
    <t>PRD-954448</t>
  </si>
  <si>
    <t>Machines Product 241</t>
  </si>
  <si>
    <t>US-2017-184673</t>
  </si>
  <si>
    <t>CUST-46823</t>
  </si>
  <si>
    <t>Customer 3374</t>
  </si>
  <si>
    <t>PRD-794483</t>
  </si>
  <si>
    <t>Storage Product 166</t>
  </si>
  <si>
    <t>US-2016-428763</t>
  </si>
  <si>
    <t>CUST-38912</t>
  </si>
  <si>
    <t>Customer 406</t>
  </si>
  <si>
    <t>PRD-136311</t>
  </si>
  <si>
    <t>Tables Product 237</t>
  </si>
  <si>
    <t>NY-2016-190454</t>
  </si>
  <si>
    <t>CUST-88314</t>
  </si>
  <si>
    <t>Customer 4754</t>
  </si>
  <si>
    <t>PRD-739586</t>
  </si>
  <si>
    <t>Art Product 289</t>
  </si>
  <si>
    <t>NY-2019-944920</t>
  </si>
  <si>
    <t>CUST-16265</t>
  </si>
  <si>
    <t>Customer 3149</t>
  </si>
  <si>
    <t>PRD-183895</t>
  </si>
  <si>
    <t>Appliances Product 66</t>
  </si>
  <si>
    <t>CA-2016-336043</t>
  </si>
  <si>
    <t>CUST-40294</t>
  </si>
  <si>
    <t>Customer 3707</t>
  </si>
  <si>
    <t>PRD-737620</t>
  </si>
  <si>
    <t>Copiers Product 225</t>
  </si>
  <si>
    <t>US-2016-317610</t>
  </si>
  <si>
    <t>CUST-96945</t>
  </si>
  <si>
    <t>Customer 2536</t>
  </si>
  <si>
    <t>PRD-952489</t>
  </si>
  <si>
    <t>Accessories Product 215</t>
  </si>
  <si>
    <t>CA-2016-963168</t>
  </si>
  <si>
    <t>CUST-30662</t>
  </si>
  <si>
    <t>Customer 2241</t>
  </si>
  <si>
    <t>PRD-335129</t>
  </si>
  <si>
    <t>Labels Product 253</t>
  </si>
  <si>
    <t>CA-2018-243173</t>
  </si>
  <si>
    <t>CUST-63982</t>
  </si>
  <si>
    <t>Customer 271</t>
  </si>
  <si>
    <t>PRD-743154</t>
  </si>
  <si>
    <t>Tables Product 86</t>
  </si>
  <si>
    <t>TX-2018-153031</t>
  </si>
  <si>
    <t>CUST-52098</t>
  </si>
  <si>
    <t>Customer 1760</t>
  </si>
  <si>
    <t>PRD-237714</t>
  </si>
  <si>
    <t>NY-2016-478497</t>
  </si>
  <si>
    <t>CUST-90100</t>
  </si>
  <si>
    <t>Customer 4574</t>
  </si>
  <si>
    <t>PRD-620782</t>
  </si>
  <si>
    <t>Chairs Product 102</t>
  </si>
  <si>
    <t>NY-2019-784416</t>
  </si>
  <si>
    <t>CUST-38416</t>
  </si>
  <si>
    <t>PRD-980704</t>
  </si>
  <si>
    <t>Appliances Product 198</t>
  </si>
  <si>
    <t>CA-2017-157480</t>
  </si>
  <si>
    <t>CUST-22264</t>
  </si>
  <si>
    <t>Customer 4595</t>
  </si>
  <si>
    <t>PRD-641422</t>
  </si>
  <si>
    <t>Art Product 275</t>
  </si>
  <si>
    <t>CA-2018-905093</t>
  </si>
  <si>
    <t>CUST-64096</t>
  </si>
  <si>
    <t>Customer 3608</t>
  </si>
  <si>
    <t>PRD-468580</t>
  </si>
  <si>
    <t>Binders Product 16</t>
  </si>
  <si>
    <t>US-2017-309976</t>
  </si>
  <si>
    <t>CUST-74985</t>
  </si>
  <si>
    <t>Customer 129</t>
  </si>
  <si>
    <t>PRD-193492</t>
  </si>
  <si>
    <t>TX-2016-156113</t>
  </si>
  <si>
    <t>CUST-25548</t>
  </si>
  <si>
    <t>Customer 1719</t>
  </si>
  <si>
    <t>PRD-868803</t>
  </si>
  <si>
    <t>Copiers Product 46</t>
  </si>
  <si>
    <t>US-2018-699891</t>
  </si>
  <si>
    <t>CUST-46415</t>
  </si>
  <si>
    <t>Customer 1699</t>
  </si>
  <si>
    <t>PRD-364394</t>
  </si>
  <si>
    <t>Copiers Product 274</t>
  </si>
  <si>
    <t>US-2019-256563</t>
  </si>
  <si>
    <t>CUST-58108</t>
  </si>
  <si>
    <t>Customer 3881</t>
  </si>
  <si>
    <t>PRD-731781</t>
  </si>
  <si>
    <t>Machines Product 72</t>
  </si>
  <si>
    <t>NY-2019-850710</t>
  </si>
  <si>
    <t>CUST-27853</t>
  </si>
  <si>
    <t>Customer 2233</t>
  </si>
  <si>
    <t>PRD-392014</t>
  </si>
  <si>
    <t>Appliances Product 221</t>
  </si>
  <si>
    <t>US-2019-531470</t>
  </si>
  <si>
    <t>CUST-27658</t>
  </si>
  <si>
    <t>Customer 3519</t>
  </si>
  <si>
    <t>PRD-198094</t>
  </si>
  <si>
    <t>Phones Product 46</t>
  </si>
  <si>
    <t>CA-2016-300530</t>
  </si>
  <si>
    <t>CUST-41059</t>
  </si>
  <si>
    <t>Customer 2963</t>
  </si>
  <si>
    <t>PRD-451167</t>
  </si>
  <si>
    <t>Phones Product 225</t>
  </si>
  <si>
    <t>NY-2017-242996</t>
  </si>
  <si>
    <t>CUST-46358</t>
  </si>
  <si>
    <t>Customer 2377</t>
  </si>
  <si>
    <t>PRD-860929</t>
  </si>
  <si>
    <t>Chairs Product 3</t>
  </si>
  <si>
    <t>US-2019-394343</t>
  </si>
  <si>
    <t>CUST-80393</t>
  </si>
  <si>
    <t>Customer 4083</t>
  </si>
  <si>
    <t>PRD-788081</t>
  </si>
  <si>
    <t>Appliances Product 297</t>
  </si>
  <si>
    <t>NY-2018-656204</t>
  </si>
  <si>
    <t>CUST-63233</t>
  </si>
  <si>
    <t>Customer 260</t>
  </si>
  <si>
    <t>PRD-524424</t>
  </si>
  <si>
    <t>Furnishings Product 203</t>
  </si>
  <si>
    <t>TX-2018-267724</t>
  </si>
  <si>
    <t>CUST-69044</t>
  </si>
  <si>
    <t>Customer 3097</t>
  </si>
  <si>
    <t>PRD-418244</t>
  </si>
  <si>
    <t>NY-2016-452110</t>
  </si>
  <si>
    <t>CUST-28183</t>
  </si>
  <si>
    <t>Customer 1852</t>
  </si>
  <si>
    <t>PRD-947210</t>
  </si>
  <si>
    <t>TX-2016-497914</t>
  </si>
  <si>
    <t>CUST-30706</t>
  </si>
  <si>
    <t>Customer 1336</t>
  </si>
  <si>
    <t>PRD-483433</t>
  </si>
  <si>
    <t>Accessories Product 183</t>
  </si>
  <si>
    <t>CA-2018-749853</t>
  </si>
  <si>
    <t>CUST-61996</t>
  </si>
  <si>
    <t>Customer 3914</t>
  </si>
  <si>
    <t>PRD-953274</t>
  </si>
  <si>
    <t>US-2018-719865</t>
  </si>
  <si>
    <t>CUST-42166</t>
  </si>
  <si>
    <t>Customer 4920</t>
  </si>
  <si>
    <t>PRD-862487</t>
  </si>
  <si>
    <t>Storage Product 40</t>
  </si>
  <si>
    <t>CA-2019-361665</t>
  </si>
  <si>
    <t>CUST-13264</t>
  </si>
  <si>
    <t>Customer 4521</t>
  </si>
  <si>
    <t>PRD-743472</t>
  </si>
  <si>
    <t>Chairs Product 157</t>
  </si>
  <si>
    <t>TX-2017-360003</t>
  </si>
  <si>
    <t>CUST-97787</t>
  </si>
  <si>
    <t>Customer 2510</t>
  </si>
  <si>
    <t>PRD-741144</t>
  </si>
  <si>
    <t>Phones Product 259</t>
  </si>
  <si>
    <t>TX-2019-934031</t>
  </si>
  <si>
    <t>CUST-57864</t>
  </si>
  <si>
    <t>PRD-925968</t>
  </si>
  <si>
    <t>Copiers Product 135</t>
  </si>
  <si>
    <t>US-2016-127324</t>
  </si>
  <si>
    <t>CUST-77429</t>
  </si>
  <si>
    <t>Customer 1044</t>
  </si>
  <si>
    <t>PRD-999755</t>
  </si>
  <si>
    <t>Phones Product 200</t>
  </si>
  <si>
    <t>CA-2017-278435</t>
  </si>
  <si>
    <t>CUST-68692</t>
  </si>
  <si>
    <t>Customer 4395</t>
  </si>
  <si>
    <t>PRD-170037</t>
  </si>
  <si>
    <t>Tables Product 296</t>
  </si>
  <si>
    <t>US-2016-169184</t>
  </si>
  <si>
    <t>CUST-85748</t>
  </si>
  <si>
    <t>Customer 4610</t>
  </si>
  <si>
    <t>PRD-178823</t>
  </si>
  <si>
    <t>Storage Product 31</t>
  </si>
  <si>
    <t>US-2019-708692</t>
  </si>
  <si>
    <t>CUST-82741</t>
  </si>
  <si>
    <t>Customer 4954</t>
  </si>
  <si>
    <t>PRD-714315</t>
  </si>
  <si>
    <t>Accessories Product 181</t>
  </si>
  <si>
    <t>TX-2019-532848</t>
  </si>
  <si>
    <t>CUST-42423</t>
  </si>
  <si>
    <t>Customer 4693</t>
  </si>
  <si>
    <t>PRD-273257</t>
  </si>
  <si>
    <t>Furnishings Product 186</t>
  </si>
  <si>
    <t>TX-2017-417795</t>
  </si>
  <si>
    <t>CUST-35316</t>
  </si>
  <si>
    <t>Customer 1382</t>
  </si>
  <si>
    <t>PRD-336720</t>
  </si>
  <si>
    <t>Bookcases Product 108</t>
  </si>
  <si>
    <t>CA-2019-547462</t>
  </si>
  <si>
    <t>CUST-51718</t>
  </si>
  <si>
    <t>Customer 4361</t>
  </si>
  <si>
    <t>PRD-373918</t>
  </si>
  <si>
    <t>Chairs Product 262</t>
  </si>
  <si>
    <t>CA-2017-906440</t>
  </si>
  <si>
    <t>CUST-74651</t>
  </si>
  <si>
    <t>PRD-320953</t>
  </si>
  <si>
    <t>Art Product 123</t>
  </si>
  <si>
    <t>NY-2016-455956</t>
  </si>
  <si>
    <t>CUST-51780</t>
  </si>
  <si>
    <t>Customer 1447</t>
  </si>
  <si>
    <t>PRD-122776</t>
  </si>
  <si>
    <t>Appliances Product 141</t>
  </si>
  <si>
    <t>CA-2019-669755</t>
  </si>
  <si>
    <t>CUST-81675</t>
  </si>
  <si>
    <t>Customer 4141</t>
  </si>
  <si>
    <t>PRD-783636</t>
  </si>
  <si>
    <t>Accessories Product 293</t>
  </si>
  <si>
    <t>US-2016-426431</t>
  </si>
  <si>
    <t>CUST-89375</t>
  </si>
  <si>
    <t>Customer 3045</t>
  </si>
  <si>
    <t>PRD-556945</t>
  </si>
  <si>
    <t>Chairs Product 72</t>
  </si>
  <si>
    <t>TX-2019-426477</t>
  </si>
  <si>
    <t>CUST-28426</t>
  </si>
  <si>
    <t>Customer 1670</t>
  </si>
  <si>
    <t>PRD-152820</t>
  </si>
  <si>
    <t>Labels Product 258</t>
  </si>
  <si>
    <t>TX-2016-443819</t>
  </si>
  <si>
    <t>CUST-67555</t>
  </si>
  <si>
    <t>Customer 3508</t>
  </si>
  <si>
    <t>PRD-141475</t>
  </si>
  <si>
    <t>NY-2017-890423</t>
  </si>
  <si>
    <t>CUST-23169</t>
  </si>
  <si>
    <t>Customer 19</t>
  </si>
  <si>
    <t>PRD-585492</t>
  </si>
  <si>
    <t>NY-2016-523008</t>
  </si>
  <si>
    <t>CUST-11941</t>
  </si>
  <si>
    <t>Customer 3535</t>
  </si>
  <si>
    <t>PRD-667446</t>
  </si>
  <si>
    <t>Chairs Product 219</t>
  </si>
  <si>
    <t>US-2019-149147</t>
  </si>
  <si>
    <t>CUST-43169</t>
  </si>
  <si>
    <t>Customer 1578</t>
  </si>
  <si>
    <t>PRD-487410</t>
  </si>
  <si>
    <t>Tables Product 289</t>
  </si>
  <si>
    <t>US-2016-946430</t>
  </si>
  <si>
    <t>CUST-59395</t>
  </si>
  <si>
    <t>Customer 982</t>
  </si>
  <si>
    <t>PRD-567279</t>
  </si>
  <si>
    <t>Chairs Product 261</t>
  </si>
  <si>
    <t>US-2019-927689</t>
  </si>
  <si>
    <t>CUST-78163</t>
  </si>
  <si>
    <t>Customer 1615</t>
  </si>
  <si>
    <t>PRD-736139</t>
  </si>
  <si>
    <t>NY-2017-683780</t>
  </si>
  <si>
    <t>CUST-19568</t>
  </si>
  <si>
    <t>Customer 1164</t>
  </si>
  <si>
    <t>PRD-817882</t>
  </si>
  <si>
    <t>Phones Product 63</t>
  </si>
  <si>
    <t>CA-2018-936092</t>
  </si>
  <si>
    <t>CUST-95364</t>
  </si>
  <si>
    <t>Customer 2295</t>
  </si>
  <si>
    <t>PRD-727901</t>
  </si>
  <si>
    <t>Chairs Product 1</t>
  </si>
  <si>
    <t>CA-2016-993310</t>
  </si>
  <si>
    <t>CUST-92446</t>
  </si>
  <si>
    <t>Customer 2333</t>
  </si>
  <si>
    <t>PRD-108925</t>
  </si>
  <si>
    <t>Phones Product 24</t>
  </si>
  <si>
    <t>CA-2017-666762</t>
  </si>
  <si>
    <t>CUST-10234</t>
  </si>
  <si>
    <t>Customer 3849</t>
  </si>
  <si>
    <t>PRD-106419</t>
  </si>
  <si>
    <t>Accessories Product 52</t>
  </si>
  <si>
    <t>CA-2017-984278</t>
  </si>
  <si>
    <t>CUST-94352</t>
  </si>
  <si>
    <t>Customer 2373</t>
  </si>
  <si>
    <t>PRD-815812</t>
  </si>
  <si>
    <t>Chairs Product 285</t>
  </si>
  <si>
    <t>US-2018-419587</t>
  </si>
  <si>
    <t>CUST-39013</t>
  </si>
  <si>
    <t>Customer 1551</t>
  </si>
  <si>
    <t>PRD-731048</t>
  </si>
  <si>
    <t>Accessories Product 284</t>
  </si>
  <si>
    <t>CA-2019-901631</t>
  </si>
  <si>
    <t>CUST-14894</t>
  </si>
  <si>
    <t>Customer 3896</t>
  </si>
  <si>
    <t>PRD-314143</t>
  </si>
  <si>
    <t>Paper Product 119</t>
  </si>
  <si>
    <t>TX-2018-613477</t>
  </si>
  <si>
    <t>CUST-52128</t>
  </si>
  <si>
    <t>Customer 1962</t>
  </si>
  <si>
    <t>PRD-566412</t>
  </si>
  <si>
    <t>Furnishings Product 235</t>
  </si>
  <si>
    <t>NY-2016-874938</t>
  </si>
  <si>
    <t>CUST-51732</t>
  </si>
  <si>
    <t>Customer 2090</t>
  </si>
  <si>
    <t>PRD-676612</t>
  </si>
  <si>
    <t>CA-2016-449253</t>
  </si>
  <si>
    <t>CUST-64792</t>
  </si>
  <si>
    <t>Customer 4769</t>
  </si>
  <si>
    <t>PRD-156995</t>
  </si>
  <si>
    <t>Machines Product 172</t>
  </si>
  <si>
    <t>NY-2017-921530</t>
  </si>
  <si>
    <t>CUST-70009</t>
  </si>
  <si>
    <t>Customer 3931</t>
  </si>
  <si>
    <t>PRD-201214</t>
  </si>
  <si>
    <t>Phones Product 83</t>
  </si>
  <si>
    <t>US-2016-128969</t>
  </si>
  <si>
    <t>CUST-88398</t>
  </si>
  <si>
    <t>Customer 1519</t>
  </si>
  <si>
    <t>PRD-509488</t>
  </si>
  <si>
    <t>Phones Product 44</t>
  </si>
  <si>
    <t>TX-2018-508232</t>
  </si>
  <si>
    <t>CUST-82660</t>
  </si>
  <si>
    <t>Customer 3831</t>
  </si>
  <si>
    <t>PRD-361092</t>
  </si>
  <si>
    <t>Machines Product 248</t>
  </si>
  <si>
    <t>NY-2018-103301</t>
  </si>
  <si>
    <t>CUST-16270</t>
  </si>
  <si>
    <t>Customer 3684</t>
  </si>
  <si>
    <t>PRD-397046</t>
  </si>
  <si>
    <t>Bookcases Product 64</t>
  </si>
  <si>
    <t>CA-2018-477180</t>
  </si>
  <si>
    <t>CUST-80622</t>
  </si>
  <si>
    <t>Customer 1058</t>
  </si>
  <si>
    <t>PRD-390488</t>
  </si>
  <si>
    <t>Phones Product 73</t>
  </si>
  <si>
    <t>TX-2018-736257</t>
  </si>
  <si>
    <t>CUST-10000</t>
  </si>
  <si>
    <t>Customer 1203</t>
  </si>
  <si>
    <t>PRD-396056</t>
  </si>
  <si>
    <t>Phones Product 79</t>
  </si>
  <si>
    <t>TX-2016-712723</t>
  </si>
  <si>
    <t>CUST-79183</t>
  </si>
  <si>
    <t>Customer 4490</t>
  </si>
  <si>
    <t>PRD-328168</t>
  </si>
  <si>
    <t>Copiers Product 167</t>
  </si>
  <si>
    <t>CA-2018-847801</t>
  </si>
  <si>
    <t>CUST-22694</t>
  </si>
  <si>
    <t>Customer 1097</t>
  </si>
  <si>
    <t>PRD-467726</t>
  </si>
  <si>
    <t>Accessories Product 28</t>
  </si>
  <si>
    <t>NY-2017-631399</t>
  </si>
  <si>
    <t>CUST-71586</t>
  </si>
  <si>
    <t>Customer 3161</t>
  </si>
  <si>
    <t>PRD-497132</t>
  </si>
  <si>
    <t>Chairs Product 212</t>
  </si>
  <si>
    <t>NY-2016-237659</t>
  </si>
  <si>
    <t>CUST-99720</t>
  </si>
  <si>
    <t>Customer 270</t>
  </si>
  <si>
    <t>PRD-364673</t>
  </si>
  <si>
    <t>Binders Product 235</t>
  </si>
  <si>
    <t>US-2016-518219</t>
  </si>
  <si>
    <t>CUST-34446</t>
  </si>
  <si>
    <t>Customer 3202</t>
  </si>
  <si>
    <t>PRD-847296</t>
  </si>
  <si>
    <t>Phones Product 233</t>
  </si>
  <si>
    <t>US-2019-357626</t>
  </si>
  <si>
    <t>CUST-73594</t>
  </si>
  <si>
    <t>Customer 1975</t>
  </si>
  <si>
    <t>PRD-402758</t>
  </si>
  <si>
    <t>Storage Product 41</t>
  </si>
  <si>
    <t>TX-2017-972650</t>
  </si>
  <si>
    <t>CUST-20632</t>
  </si>
  <si>
    <t>PRD-405355</t>
  </si>
  <si>
    <t>Tables Product 64</t>
  </si>
  <si>
    <t>CA-2017-925153</t>
  </si>
  <si>
    <t>CUST-14446</t>
  </si>
  <si>
    <t>Customer 3320</t>
  </si>
  <si>
    <t>PRD-694648</t>
  </si>
  <si>
    <t>Paper Product 222</t>
  </si>
  <si>
    <t>US-2019-236422</t>
  </si>
  <si>
    <t>CUST-96121</t>
  </si>
  <si>
    <t>Customer 1054</t>
  </si>
  <si>
    <t>PRD-761920</t>
  </si>
  <si>
    <t>Storage Product 19</t>
  </si>
  <si>
    <t>US-2019-192668</t>
  </si>
  <si>
    <t>CUST-53277</t>
  </si>
  <si>
    <t>Customer 4491</t>
  </si>
  <si>
    <t>PRD-509784</t>
  </si>
  <si>
    <t>Tables Product 218</t>
  </si>
  <si>
    <t>NY-2018-437922</t>
  </si>
  <si>
    <t>CUST-30945</t>
  </si>
  <si>
    <t>Customer 4778</t>
  </si>
  <si>
    <t>PRD-912819</t>
  </si>
  <si>
    <t>Binders Product 262</t>
  </si>
  <si>
    <t>NY-2016-322053</t>
  </si>
  <si>
    <t>CUST-23268</t>
  </si>
  <si>
    <t>Customer 2285</t>
  </si>
  <si>
    <t>PRD-271678</t>
  </si>
  <si>
    <t>Bookcases Product 193</t>
  </si>
  <si>
    <t>NY-2016-519426</t>
  </si>
  <si>
    <t>CUST-90278</t>
  </si>
  <si>
    <t>PRD-893333</t>
  </si>
  <si>
    <t>Copiers Product 176</t>
  </si>
  <si>
    <t>TX-2017-269789</t>
  </si>
  <si>
    <t>CUST-50388</t>
  </si>
  <si>
    <t>Customer 1708</t>
  </si>
  <si>
    <t>PRD-520240</t>
  </si>
  <si>
    <t>Accessories Product 276</t>
  </si>
  <si>
    <t>US-2017-196421</t>
  </si>
  <si>
    <t>CUST-21779</t>
  </si>
  <si>
    <t>Customer 4404</t>
  </si>
  <si>
    <t>PRD-102053</t>
  </si>
  <si>
    <t>NY-2017-221912</t>
  </si>
  <si>
    <t>CUST-72056</t>
  </si>
  <si>
    <t>Customer 4616</t>
  </si>
  <si>
    <t>PRD-170684</t>
  </si>
  <si>
    <t>Paper Product 292</t>
  </si>
  <si>
    <t>US-2016-734644</t>
  </si>
  <si>
    <t>CUST-32596</t>
  </si>
  <si>
    <t>Customer 4564</t>
  </si>
  <si>
    <t>PRD-630155</t>
  </si>
  <si>
    <t>Machines Product 201</t>
  </si>
  <si>
    <t>TX-2017-905915</t>
  </si>
  <si>
    <t>CUST-59318</t>
  </si>
  <si>
    <t>Customer 2648</t>
  </si>
  <si>
    <t>PRD-265839</t>
  </si>
  <si>
    <t>Paper Product 214</t>
  </si>
  <si>
    <t>CA-2019-936016</t>
  </si>
  <si>
    <t>CUST-40350</t>
  </si>
  <si>
    <t>Customer 2721</t>
  </si>
  <si>
    <t>PRD-388050</t>
  </si>
  <si>
    <t>Bookcases Product 28</t>
  </si>
  <si>
    <t>TX-2017-264179</t>
  </si>
  <si>
    <t>CUST-75230</t>
  </si>
  <si>
    <t>Customer 1717</t>
  </si>
  <si>
    <t>PRD-902145</t>
  </si>
  <si>
    <t>Art Product 145</t>
  </si>
  <si>
    <t>TX-2018-950551</t>
  </si>
  <si>
    <t>CUST-42802</t>
  </si>
  <si>
    <t>Customer 3392</t>
  </si>
  <si>
    <t>PRD-139838</t>
  </si>
  <si>
    <t>Phones Product 21</t>
  </si>
  <si>
    <t>CA-2017-250856</t>
  </si>
  <si>
    <t>CUST-57432</t>
  </si>
  <si>
    <t>Customer 3144</t>
  </si>
  <si>
    <t>PRD-858681</t>
  </si>
  <si>
    <t>Furnishings Product 36</t>
  </si>
  <si>
    <t>US-2016-496607</t>
  </si>
  <si>
    <t>CUST-53301</t>
  </si>
  <si>
    <t>Customer 4257</t>
  </si>
  <si>
    <t>PRD-646342</t>
  </si>
  <si>
    <t>Furnishings Product 141</t>
  </si>
  <si>
    <t>US-2016-256405</t>
  </si>
  <si>
    <t>CUST-76333</t>
  </si>
  <si>
    <t>Customer 3496</t>
  </si>
  <si>
    <t>PRD-260347</t>
  </si>
  <si>
    <t>Accessories Product 259</t>
  </si>
  <si>
    <t>US-2018-536101</t>
  </si>
  <si>
    <t>CUST-13492</t>
  </si>
  <si>
    <t>Customer 4983</t>
  </si>
  <si>
    <t>PRD-473124</t>
  </si>
  <si>
    <t>Paper Product 276</t>
  </si>
  <si>
    <t>US-2017-297898</t>
  </si>
  <si>
    <t>CUST-80514</t>
  </si>
  <si>
    <t>Customer 583</t>
  </si>
  <si>
    <t>PRD-435549</t>
  </si>
  <si>
    <t>Paper Product 48</t>
  </si>
  <si>
    <t>TX-2017-574302</t>
  </si>
  <si>
    <t>CUST-18268</t>
  </si>
  <si>
    <t>Customer 1801</t>
  </si>
  <si>
    <t>PRD-473991</t>
  </si>
  <si>
    <t>Copiers Product 105</t>
  </si>
  <si>
    <t>TX-2016-150074</t>
  </si>
  <si>
    <t>CUST-49336</t>
  </si>
  <si>
    <t>Customer 4583</t>
  </si>
  <si>
    <t>PRD-896594</t>
  </si>
  <si>
    <t>Phones Product 266</t>
  </si>
  <si>
    <t>US-2017-123343</t>
  </si>
  <si>
    <t>CUST-85198</t>
  </si>
  <si>
    <t>Customer 2493</t>
  </si>
  <si>
    <t>PRD-190186</t>
  </si>
  <si>
    <t>Tables Product 36</t>
  </si>
  <si>
    <t>NY-2019-508058</t>
  </si>
  <si>
    <t>CUST-95713</t>
  </si>
  <si>
    <t>Customer 1050</t>
  </si>
  <si>
    <t>PRD-582587</t>
  </si>
  <si>
    <t>Binders Product 12</t>
  </si>
  <si>
    <t>CA-2019-844714</t>
  </si>
  <si>
    <t>CUST-94395</t>
  </si>
  <si>
    <t>Customer 184</t>
  </si>
  <si>
    <t>PRD-562371</t>
  </si>
  <si>
    <t>Chairs Product 236</t>
  </si>
  <si>
    <t>US-2019-404297</t>
  </si>
  <si>
    <t>CUST-86200</t>
  </si>
  <si>
    <t>Customer 2688</t>
  </si>
  <si>
    <t>PRD-105663</t>
  </si>
  <si>
    <t>Storage Product 43</t>
  </si>
  <si>
    <t>TX-2018-279740</t>
  </si>
  <si>
    <t>CUST-58432</t>
  </si>
  <si>
    <t>Customer 2905</t>
  </si>
  <si>
    <t>PRD-526820</t>
  </si>
  <si>
    <t>Labels Product 169</t>
  </si>
  <si>
    <t>TX-2017-566802</t>
  </si>
  <si>
    <t>CUST-47735</t>
  </si>
  <si>
    <t>Customer 2262</t>
  </si>
  <si>
    <t>PRD-892535</t>
  </si>
  <si>
    <t>Appliances Product 194</t>
  </si>
  <si>
    <t>US-2019-356124</t>
  </si>
  <si>
    <t>CUST-69786</t>
  </si>
  <si>
    <t>PRD-105793</t>
  </si>
  <si>
    <t>NY-2018-467263</t>
  </si>
  <si>
    <t>CUST-44471</t>
  </si>
  <si>
    <t>Customer 2774</t>
  </si>
  <si>
    <t>PRD-423098</t>
  </si>
  <si>
    <t>Machines Product 109</t>
  </si>
  <si>
    <t>CA-2017-791724</t>
  </si>
  <si>
    <t>CUST-89213</t>
  </si>
  <si>
    <t>Customer 2365</t>
  </si>
  <si>
    <t>PRD-102764</t>
  </si>
  <si>
    <t>Copiers Product 140</t>
  </si>
  <si>
    <t>TX-2017-792739</t>
  </si>
  <si>
    <t>CUST-93152</t>
  </si>
  <si>
    <t>Customer 2625</t>
  </si>
  <si>
    <t>PRD-343321</t>
  </si>
  <si>
    <t>Bookcases Product 265</t>
  </si>
  <si>
    <t>US-2017-250900</t>
  </si>
  <si>
    <t>CUST-24330</t>
  </si>
  <si>
    <t>Customer 336</t>
  </si>
  <si>
    <t>PRD-170846</t>
  </si>
  <si>
    <t>Chairs Product 40</t>
  </si>
  <si>
    <t>TX-2018-671325</t>
  </si>
  <si>
    <t>CUST-24029</t>
  </si>
  <si>
    <t>Customer 1486</t>
  </si>
  <si>
    <t>PRD-320734</t>
  </si>
  <si>
    <t>Furnishings Product 190</t>
  </si>
  <si>
    <t>US-2019-762462</t>
  </si>
  <si>
    <t>CUST-15561</t>
  </si>
  <si>
    <t>Customer 114</t>
  </si>
  <si>
    <t>PRD-642420</t>
  </si>
  <si>
    <t>Art Product 62</t>
  </si>
  <si>
    <t>CA-2019-926952</t>
  </si>
  <si>
    <t>CUST-54730</t>
  </si>
  <si>
    <t>Customer 1664</t>
  </si>
  <si>
    <t>PRD-358131</t>
  </si>
  <si>
    <t>Accessories Product 54</t>
  </si>
  <si>
    <t>US-2018-746113</t>
  </si>
  <si>
    <t>CUST-20698</t>
  </si>
  <si>
    <t>Customer 788</t>
  </si>
  <si>
    <t>PRD-419704</t>
  </si>
  <si>
    <t>Bookcases Product 282</t>
  </si>
  <si>
    <t>NY-2017-322481</t>
  </si>
  <si>
    <t>CUST-14273</t>
  </si>
  <si>
    <t>PRD-490838</t>
  </si>
  <si>
    <t>Furnishings Product 250</t>
  </si>
  <si>
    <t>NY-2019-802570</t>
  </si>
  <si>
    <t>CUST-48747</t>
  </si>
  <si>
    <t>Customer 1986</t>
  </si>
  <si>
    <t>PRD-970256</t>
  </si>
  <si>
    <t>Accessories Product 157</t>
  </si>
  <si>
    <t>CA-2019-153448</t>
  </si>
  <si>
    <t>CUST-17047</t>
  </si>
  <si>
    <t>Customer 3885</t>
  </si>
  <si>
    <t>PRD-190842</t>
  </si>
  <si>
    <t>Art Product 73</t>
  </si>
  <si>
    <t>US-2017-252618</t>
  </si>
  <si>
    <t>CUST-43951</t>
  </si>
  <si>
    <t>Customer 4909</t>
  </si>
  <si>
    <t>PRD-452456</t>
  </si>
  <si>
    <t>TX-2018-335997</t>
  </si>
  <si>
    <t>CUST-47245</t>
  </si>
  <si>
    <t>Customer 617</t>
  </si>
  <si>
    <t>PRD-449739</t>
  </si>
  <si>
    <t>Labels Product 99</t>
  </si>
  <si>
    <t>CA-2019-725616</t>
  </si>
  <si>
    <t>CUST-49767</t>
  </si>
  <si>
    <t>Customer 2161</t>
  </si>
  <si>
    <t>PRD-844610</t>
  </si>
  <si>
    <t>Art Product 281</t>
  </si>
  <si>
    <t>US-2019-810354</t>
  </si>
  <si>
    <t>CUST-95043</t>
  </si>
  <si>
    <t>Customer 4415</t>
  </si>
  <si>
    <t>PRD-478446</t>
  </si>
  <si>
    <t>Labels Product 248</t>
  </si>
  <si>
    <t>CA-2019-942274</t>
  </si>
  <si>
    <t>CUST-66716</t>
  </si>
  <si>
    <t>Customer 104</t>
  </si>
  <si>
    <t>PRD-190827</t>
  </si>
  <si>
    <t>Labels Product 232</t>
  </si>
  <si>
    <t>TX-2019-638998</t>
  </si>
  <si>
    <t>CUST-10300</t>
  </si>
  <si>
    <t>Customer 2981</t>
  </si>
  <si>
    <t>PRD-834580</t>
  </si>
  <si>
    <t>Chairs Product 263</t>
  </si>
  <si>
    <t>NY-2018-425077</t>
  </si>
  <si>
    <t>CUST-95393</t>
  </si>
  <si>
    <t>Customer 3766</t>
  </si>
  <si>
    <t>PRD-519915</t>
  </si>
  <si>
    <t>Storage Product 144</t>
  </si>
  <si>
    <t>NY-2019-656202</t>
  </si>
  <si>
    <t>CUST-80269</t>
  </si>
  <si>
    <t>Customer 3704</t>
  </si>
  <si>
    <t>PRD-758008</t>
  </si>
  <si>
    <t>Phones Product 269</t>
  </si>
  <si>
    <t>CA-2019-513816</t>
  </si>
  <si>
    <t>CUST-69120</t>
  </si>
  <si>
    <t>Customer 4111</t>
  </si>
  <si>
    <t>PRD-781197</t>
  </si>
  <si>
    <t>Machines Product 249</t>
  </si>
  <si>
    <t>NY-2018-246739</t>
  </si>
  <si>
    <t>CUST-66730</t>
  </si>
  <si>
    <t>Customer 4108</t>
  </si>
  <si>
    <t>PRD-145019</t>
  </si>
  <si>
    <t>Machines Product 240</t>
  </si>
  <si>
    <t>NY-2019-924015</t>
  </si>
  <si>
    <t>CUST-88400</t>
  </si>
  <si>
    <t>Customer 1510</t>
  </si>
  <si>
    <t>PRD-706682</t>
  </si>
  <si>
    <t>Bookcases Product 107</t>
  </si>
  <si>
    <t>CA-2019-771816</t>
  </si>
  <si>
    <t>CUST-48285</t>
  </si>
  <si>
    <t>Customer 3574</t>
  </si>
  <si>
    <t>PRD-880259</t>
  </si>
  <si>
    <t>Accessories Product 222</t>
  </si>
  <si>
    <t>TX-2017-523854</t>
  </si>
  <si>
    <t>CUST-58892</t>
  </si>
  <si>
    <t>Customer 2863</t>
  </si>
  <si>
    <t>PRD-875766</t>
  </si>
  <si>
    <t>Machines Product 68</t>
  </si>
  <si>
    <t>CA-2016-395994</t>
  </si>
  <si>
    <t>CUST-40042</t>
  </si>
  <si>
    <t>Customer 2204</t>
  </si>
  <si>
    <t>PRD-174964</t>
  </si>
  <si>
    <t>Tables Product 23</t>
  </si>
  <si>
    <t>US-2019-311633</t>
  </si>
  <si>
    <t>CUST-33110</t>
  </si>
  <si>
    <t>Customer 3705</t>
  </si>
  <si>
    <t>PRD-113307</t>
  </si>
  <si>
    <t>Chairs Product 136</t>
  </si>
  <si>
    <t>CA-2016-236365</t>
  </si>
  <si>
    <t>CUST-94022</t>
  </si>
  <si>
    <t>Customer 1758</t>
  </si>
  <si>
    <t>PRD-551425</t>
  </si>
  <si>
    <t>Machines Product 176</t>
  </si>
  <si>
    <t>US-2016-553156</t>
  </si>
  <si>
    <t>CUST-14956</t>
  </si>
  <si>
    <t>Customer 388</t>
  </si>
  <si>
    <t>PRD-276863</t>
  </si>
  <si>
    <t>Furnishings Product 195</t>
  </si>
  <si>
    <t>CA-2019-754268</t>
  </si>
  <si>
    <t>CUST-20484</t>
  </si>
  <si>
    <t>Customer 1256</t>
  </si>
  <si>
    <t>PRD-958043</t>
  </si>
  <si>
    <t>Machines Product 183</t>
  </si>
  <si>
    <t>TX-2016-868607</t>
  </si>
  <si>
    <t>CUST-72878</t>
  </si>
  <si>
    <t>Customer 415</t>
  </si>
  <si>
    <t>PRD-871235</t>
  </si>
  <si>
    <t>Storage Product 44</t>
  </si>
  <si>
    <t>NY-2016-326081</t>
  </si>
  <si>
    <t>CUST-32118</t>
  </si>
  <si>
    <t>Customer 3560</t>
  </si>
  <si>
    <t>PRD-139317</t>
  </si>
  <si>
    <t>Tables Product 200</t>
  </si>
  <si>
    <t>TX-2018-884137</t>
  </si>
  <si>
    <t>CUST-43424</t>
  </si>
  <si>
    <t>Customer 3111</t>
  </si>
  <si>
    <t>PRD-133735</t>
  </si>
  <si>
    <t>Accessories Product 258</t>
  </si>
  <si>
    <t>US-2017-796044</t>
  </si>
  <si>
    <t>CUST-69186</t>
  </si>
  <si>
    <t>Customer 106</t>
  </si>
  <si>
    <t>PRD-905004</t>
  </si>
  <si>
    <t>Chairs Product 55</t>
  </si>
  <si>
    <t>NY-2018-739840</t>
  </si>
  <si>
    <t>CUST-32573</t>
  </si>
  <si>
    <t>Customer 754</t>
  </si>
  <si>
    <t>PRD-608767</t>
  </si>
  <si>
    <t>Accessories Product 29</t>
  </si>
  <si>
    <t>US-2017-693050</t>
  </si>
  <si>
    <t>CUST-47319</t>
  </si>
  <si>
    <t>Customer 1769</t>
  </si>
  <si>
    <t>PRD-900350</t>
  </si>
  <si>
    <t>Accessories Product 255</t>
  </si>
  <si>
    <t>NY-2017-618111</t>
  </si>
  <si>
    <t>CUST-43537</t>
  </si>
  <si>
    <t>Customer 2840</t>
  </si>
  <si>
    <t>PRD-491571</t>
  </si>
  <si>
    <t>Appliances Product 250</t>
  </si>
  <si>
    <t>CA-2018-805462</t>
  </si>
  <si>
    <t>CUST-20381</t>
  </si>
  <si>
    <t>Customer 2586</t>
  </si>
  <si>
    <t>PRD-938531</t>
  </si>
  <si>
    <t>Appliances Product 69</t>
  </si>
  <si>
    <t>CA-2019-856179</t>
  </si>
  <si>
    <t>CUST-98731</t>
  </si>
  <si>
    <t>Customer 2763</t>
  </si>
  <si>
    <t>PRD-774886</t>
  </si>
  <si>
    <t>Labels Product 288</t>
  </si>
  <si>
    <t>US-2019-890122</t>
  </si>
  <si>
    <t>CUST-95387</t>
  </si>
  <si>
    <t>Customer 4504</t>
  </si>
  <si>
    <t>PRD-395372</t>
  </si>
  <si>
    <t>TX-2017-358305</t>
  </si>
  <si>
    <t>CUST-40578</t>
  </si>
  <si>
    <t>Customer 2027</t>
  </si>
  <si>
    <t>PRD-978856</t>
  </si>
  <si>
    <t>Tables Product 252</t>
  </si>
  <si>
    <t>TX-2016-657679</t>
  </si>
  <si>
    <t>CUST-29404</t>
  </si>
  <si>
    <t>Customer 4423</t>
  </si>
  <si>
    <t>PRD-684767</t>
  </si>
  <si>
    <t>Storage Product 100</t>
  </si>
  <si>
    <t>US-2017-102016</t>
  </si>
  <si>
    <t>CUST-42679</t>
  </si>
  <si>
    <t>Customer 4824</t>
  </si>
  <si>
    <t>PRD-813806</t>
  </si>
  <si>
    <t>Machines Product 258</t>
  </si>
  <si>
    <t>NY-2018-467626</t>
  </si>
  <si>
    <t>CUST-62161</t>
  </si>
  <si>
    <t>Customer 562</t>
  </si>
  <si>
    <t>PRD-363182</t>
  </si>
  <si>
    <t>Machines Product 19</t>
  </si>
  <si>
    <t>TX-2017-836878</t>
  </si>
  <si>
    <t>CUST-30111</t>
  </si>
  <si>
    <t>Customer 976</t>
  </si>
  <si>
    <t>PRD-362234</t>
  </si>
  <si>
    <t>Copiers Product 262</t>
  </si>
  <si>
    <t>TX-2017-419101</t>
  </si>
  <si>
    <t>CUST-53353</t>
  </si>
  <si>
    <t>Customer 1951</t>
  </si>
  <si>
    <t>PRD-439001</t>
  </si>
  <si>
    <t>Bookcases Product 1</t>
  </si>
  <si>
    <t>NY-2017-677969</t>
  </si>
  <si>
    <t>CUST-39857</t>
  </si>
  <si>
    <t>Customer 3309</t>
  </si>
  <si>
    <t>PRD-791058</t>
  </si>
  <si>
    <t>Binders Product 164</t>
  </si>
  <si>
    <t>NY-2019-158632</t>
  </si>
  <si>
    <t>CUST-61373</t>
  </si>
  <si>
    <t>Customer 1650</t>
  </si>
  <si>
    <t>PRD-435551</t>
  </si>
  <si>
    <t>Bookcases Product 298</t>
  </si>
  <si>
    <t>NY-2016-703430</t>
  </si>
  <si>
    <t>CUST-82934</t>
  </si>
  <si>
    <t>Customer 2465</t>
  </si>
  <si>
    <t>PRD-419170</t>
  </si>
  <si>
    <t>Furnishings Product 1</t>
  </si>
  <si>
    <t>US-2018-506609</t>
  </si>
  <si>
    <t>CUST-78415</t>
  </si>
  <si>
    <t>Customer 1958</t>
  </si>
  <si>
    <t>PRD-493631</t>
  </si>
  <si>
    <t>Labels Product 284</t>
  </si>
  <si>
    <t>NY-2018-619791</t>
  </si>
  <si>
    <t>CUST-57916</t>
  </si>
  <si>
    <t>PRD-374160</t>
  </si>
  <si>
    <t>Machines Product 154</t>
  </si>
  <si>
    <t>US-2017-984250</t>
  </si>
  <si>
    <t>CUST-73139</t>
  </si>
  <si>
    <t>Customer 2412</t>
  </si>
  <si>
    <t>PRD-989268</t>
  </si>
  <si>
    <t>NY-2018-673090</t>
  </si>
  <si>
    <t>CUST-86222</t>
  </si>
  <si>
    <t>Customer 907</t>
  </si>
  <si>
    <t>PRD-320135</t>
  </si>
  <si>
    <t>Furnishings Product 133</t>
  </si>
  <si>
    <t>TX-2017-170592</t>
  </si>
  <si>
    <t>CUST-49157</t>
  </si>
  <si>
    <t>Customer 2417</t>
  </si>
  <si>
    <t>PRD-255771</t>
  </si>
  <si>
    <t>Tables Product 227</t>
  </si>
  <si>
    <t>CA-2017-940395</t>
  </si>
  <si>
    <t>CUST-49637</t>
  </si>
  <si>
    <t>Customer 3355</t>
  </si>
  <si>
    <t>PRD-582044</t>
  </si>
  <si>
    <t>Accessories Product 158</t>
  </si>
  <si>
    <t>US-2016-154007</t>
  </si>
  <si>
    <t>CUST-62694</t>
  </si>
  <si>
    <t>Customer 3052</t>
  </si>
  <si>
    <t>PRD-593205</t>
  </si>
  <si>
    <t>Binders Product 9</t>
  </si>
  <si>
    <t>TX-2019-706174</t>
  </si>
  <si>
    <t>CUST-56807</t>
  </si>
  <si>
    <t>Customer 3941</t>
  </si>
  <si>
    <t>PRD-889784</t>
  </si>
  <si>
    <t>Art Product 159</t>
  </si>
  <si>
    <t>CA-2016-413321</t>
  </si>
  <si>
    <t>CUST-69449</t>
  </si>
  <si>
    <t>Customer 1904</t>
  </si>
  <si>
    <t>PRD-248547</t>
  </si>
  <si>
    <t>Appliances Product 128</t>
  </si>
  <si>
    <t>TX-2019-255632</t>
  </si>
  <si>
    <t>CUST-87378</t>
  </si>
  <si>
    <t>Customer 2197</t>
  </si>
  <si>
    <t>PRD-999463</t>
  </si>
  <si>
    <t>Chairs Product 241</t>
  </si>
  <si>
    <t>CA-2018-920782</t>
  </si>
  <si>
    <t>CUST-14226</t>
  </si>
  <si>
    <t>Customer 1981</t>
  </si>
  <si>
    <t>PRD-835214</t>
  </si>
  <si>
    <t>Labels Product 197</t>
  </si>
  <si>
    <t>CA-2019-601422</t>
  </si>
  <si>
    <t>CUST-33246</t>
  </si>
  <si>
    <t>Customer 4770</t>
  </si>
  <si>
    <t>PRD-544347</t>
  </si>
  <si>
    <t>Labels Product 185</t>
  </si>
  <si>
    <t>CA-2018-656631</t>
  </si>
  <si>
    <t>CUST-36637</t>
  </si>
  <si>
    <t>Customer 1407</t>
  </si>
  <si>
    <t>PRD-411045</t>
  </si>
  <si>
    <t>Copiers Product 59</t>
  </si>
  <si>
    <t>CA-2018-406310</t>
  </si>
  <si>
    <t>CUST-30901</t>
  </si>
  <si>
    <t>Customer 2211</t>
  </si>
  <si>
    <t>PRD-555499</t>
  </si>
  <si>
    <t>US-2018-441647</t>
  </si>
  <si>
    <t>CUST-29282</t>
  </si>
  <si>
    <t>Customer 2516</t>
  </si>
  <si>
    <t>PRD-767110</t>
  </si>
  <si>
    <t>Art Product 81</t>
  </si>
  <si>
    <t>NY-2017-395579</t>
  </si>
  <si>
    <t>CUST-97208</t>
  </si>
  <si>
    <t>Customer 1736</t>
  </si>
  <si>
    <t>PRD-159130</t>
  </si>
  <si>
    <t>Labels Product 219</t>
  </si>
  <si>
    <t>US-2016-960728</t>
  </si>
  <si>
    <t>CUST-74467</t>
  </si>
  <si>
    <t>Customer 4829</t>
  </si>
  <si>
    <t>PRD-362185</t>
  </si>
  <si>
    <t>Storage Product 138</t>
  </si>
  <si>
    <t>CA-2016-564914</t>
  </si>
  <si>
    <t>CUST-82731</t>
  </si>
  <si>
    <t>Customer 4605</t>
  </si>
  <si>
    <t>PRD-813163</t>
  </si>
  <si>
    <t>Accessories Product 64</t>
  </si>
  <si>
    <t>NY-2018-875788</t>
  </si>
  <si>
    <t>CUST-36243</t>
  </si>
  <si>
    <t>Customer 3554</t>
  </si>
  <si>
    <t>PRD-304928</t>
  </si>
  <si>
    <t>Furnishings Product 4</t>
  </si>
  <si>
    <t>NY-2019-238315</t>
  </si>
  <si>
    <t>CUST-61273</t>
  </si>
  <si>
    <t>Customer 2392</t>
  </si>
  <si>
    <t>PRD-931176</t>
  </si>
  <si>
    <t>Bookcases Product 13</t>
  </si>
  <si>
    <t>US-2017-460634</t>
  </si>
  <si>
    <t>CUST-87021</t>
  </si>
  <si>
    <t>Customer 3033</t>
  </si>
  <si>
    <t>PRD-669437</t>
  </si>
  <si>
    <t>Phones Product 112</t>
  </si>
  <si>
    <t>US-2016-456111</t>
  </si>
  <si>
    <t>CUST-32651</t>
  </si>
  <si>
    <t>PRD-267733</t>
  </si>
  <si>
    <t>Appliances Product 208</t>
  </si>
  <si>
    <t>TX-2017-128398</t>
  </si>
  <si>
    <t>CUST-85397</t>
  </si>
  <si>
    <t>Customer 3402</t>
  </si>
  <si>
    <t>PRD-689937</t>
  </si>
  <si>
    <t>TX-2017-805234</t>
  </si>
  <si>
    <t>CUST-43701</t>
  </si>
  <si>
    <t>Customer 4910</t>
  </si>
  <si>
    <t>PRD-766266</t>
  </si>
  <si>
    <t>Phones Product 52</t>
  </si>
  <si>
    <t>US-2017-805002</t>
  </si>
  <si>
    <t>CUST-15978</t>
  </si>
  <si>
    <t>Customer 2551</t>
  </si>
  <si>
    <t>PRD-897113</t>
  </si>
  <si>
    <t>Chairs Product 77</t>
  </si>
  <si>
    <t>CA-2018-607124</t>
  </si>
  <si>
    <t>CUST-77223</t>
  </si>
  <si>
    <t>Customer 2951</t>
  </si>
  <si>
    <t>PRD-933390</t>
  </si>
  <si>
    <t>Labels Product 251</t>
  </si>
  <si>
    <t>US-2019-715366</t>
  </si>
  <si>
    <t>CUST-88449</t>
  </si>
  <si>
    <t>Customer 4809</t>
  </si>
  <si>
    <t>PRD-161974</t>
  </si>
  <si>
    <t>Machines Product 89</t>
  </si>
  <si>
    <t>TX-2016-190772</t>
  </si>
  <si>
    <t>CUST-79620</t>
  </si>
  <si>
    <t>Customer 2939</t>
  </si>
  <si>
    <t>PRD-309494</t>
  </si>
  <si>
    <t>Tables Product 147</t>
  </si>
  <si>
    <t>US-2019-349084</t>
  </si>
  <si>
    <t>CUST-63532</t>
  </si>
  <si>
    <t>Customer 4386</t>
  </si>
  <si>
    <t>PRD-954301</t>
  </si>
  <si>
    <t>Labels Product 223</t>
  </si>
  <si>
    <t>US-2016-452716</t>
  </si>
  <si>
    <t>CUST-83362</t>
  </si>
  <si>
    <t>Customer 1390</t>
  </si>
  <si>
    <t>PRD-796420</t>
  </si>
  <si>
    <t>Paper Product 56</t>
  </si>
  <si>
    <t>TX-2019-431303</t>
  </si>
  <si>
    <t>CUST-31417</t>
  </si>
  <si>
    <t>Customer 3998</t>
  </si>
  <si>
    <t>PRD-868305</t>
  </si>
  <si>
    <t>Tables Product 183</t>
  </si>
  <si>
    <t>US-2019-863069</t>
  </si>
  <si>
    <t>CUST-49697</t>
  </si>
  <si>
    <t>Customer 2561</t>
  </si>
  <si>
    <t>PRD-529369</t>
  </si>
  <si>
    <t>Labels Product 36</t>
  </si>
  <si>
    <t>CA-2017-278157</t>
  </si>
  <si>
    <t>CUST-96028</t>
  </si>
  <si>
    <t>Customer 342</t>
  </si>
  <si>
    <t>PRD-820315</t>
  </si>
  <si>
    <t>Binders Product 48</t>
  </si>
  <si>
    <t>TX-2016-359196</t>
  </si>
  <si>
    <t>CUST-81850</t>
  </si>
  <si>
    <t>Customer 2515</t>
  </si>
  <si>
    <t>PRD-391750</t>
  </si>
  <si>
    <t>Appliances Product 281</t>
  </si>
  <si>
    <t>CA-2016-938479</t>
  </si>
  <si>
    <t>CUST-39375</t>
  </si>
  <si>
    <t>Customer 3079</t>
  </si>
  <si>
    <t>PRD-393971</t>
  </si>
  <si>
    <t>Labels Product 285</t>
  </si>
  <si>
    <t>CA-2018-510758</t>
  </si>
  <si>
    <t>CUST-14980</t>
  </si>
  <si>
    <t>Customer 3927</t>
  </si>
  <si>
    <t>PRD-896658</t>
  </si>
  <si>
    <t>Storage Product 79</t>
  </si>
  <si>
    <t>CA-2018-775670</t>
  </si>
  <si>
    <t>CUST-59582</t>
  </si>
  <si>
    <t>Customer 41</t>
  </si>
  <si>
    <t>PRD-220819</t>
  </si>
  <si>
    <t>Tables Product 284</t>
  </si>
  <si>
    <t>CA-2018-495924</t>
  </si>
  <si>
    <t>CUST-19632</t>
  </si>
  <si>
    <t>Customer 123</t>
  </si>
  <si>
    <t>PRD-584130</t>
  </si>
  <si>
    <t>Furnishings Product 103</t>
  </si>
  <si>
    <t>TX-2017-239075</t>
  </si>
  <si>
    <t>CUST-87881</t>
  </si>
  <si>
    <t>Customer 1959</t>
  </si>
  <si>
    <t>PRD-240822</t>
  </si>
  <si>
    <t>US-2016-571866</t>
  </si>
  <si>
    <t>CUST-72355</t>
  </si>
  <si>
    <t>Customer 3609</t>
  </si>
  <si>
    <t>PRD-215577</t>
  </si>
  <si>
    <t>Labels Product 57</t>
  </si>
  <si>
    <t>NY-2016-214342</t>
  </si>
  <si>
    <t>CUST-77190</t>
  </si>
  <si>
    <t>Customer 2059</t>
  </si>
  <si>
    <t>PRD-815079</t>
  </si>
  <si>
    <t>Furnishings Product 90</t>
  </si>
  <si>
    <t>US-2016-642787</t>
  </si>
  <si>
    <t>CUST-66328</t>
  </si>
  <si>
    <t>Customer 2203</t>
  </si>
  <si>
    <t>PRD-665519</t>
  </si>
  <si>
    <t>Appliances Product 186</t>
  </si>
  <si>
    <t>TX-2016-420709</t>
  </si>
  <si>
    <t>CUST-56913</t>
  </si>
  <si>
    <t>Customer 3821</t>
  </si>
  <si>
    <t>PRD-602622</t>
  </si>
  <si>
    <t>Tables Product 242</t>
  </si>
  <si>
    <t>NY-2018-999766</t>
  </si>
  <si>
    <t>CUST-30286</t>
  </si>
  <si>
    <t>Customer 2181</t>
  </si>
  <si>
    <t>PRD-181380</t>
  </si>
  <si>
    <t>NY-2016-200656</t>
  </si>
  <si>
    <t>CUST-93889</t>
  </si>
  <si>
    <t>Customer 2906</t>
  </si>
  <si>
    <t>PRD-687777</t>
  </si>
  <si>
    <t>Machines Product 168</t>
  </si>
  <si>
    <t>NY-2018-167114</t>
  </si>
  <si>
    <t>CUST-15615</t>
  </si>
  <si>
    <t>Customer 993</t>
  </si>
  <si>
    <t>PRD-448546</t>
  </si>
  <si>
    <t>US-2019-292226</t>
  </si>
  <si>
    <t>CUST-28542</t>
  </si>
  <si>
    <t>Customer 3771</t>
  </si>
  <si>
    <t>PRD-320747</t>
  </si>
  <si>
    <t>Accessories Product 111</t>
  </si>
  <si>
    <t>CA-2016-168226</t>
  </si>
  <si>
    <t>CUST-32478</t>
  </si>
  <si>
    <t>Customer 4246</t>
  </si>
  <si>
    <t>PRD-745197</t>
  </si>
  <si>
    <t>Art Product 173</t>
  </si>
  <si>
    <t>US-2018-369943</t>
  </si>
  <si>
    <t>CUST-15555</t>
  </si>
  <si>
    <t>Customer 1173</t>
  </si>
  <si>
    <t>PRD-962319</t>
  </si>
  <si>
    <t>Storage Product 276</t>
  </si>
  <si>
    <t>NY-2017-345105</t>
  </si>
  <si>
    <t>CUST-23718</t>
  </si>
  <si>
    <t>Customer 2668</t>
  </si>
  <si>
    <t>PRD-904105</t>
  </si>
  <si>
    <t>Chairs Product 129</t>
  </si>
  <si>
    <t>TX-2017-620806</t>
  </si>
  <si>
    <t>CUST-66481</t>
  </si>
  <si>
    <t>PRD-560695</t>
  </si>
  <si>
    <t>Machines Product 177</t>
  </si>
  <si>
    <t>TX-2017-366755</t>
  </si>
  <si>
    <t>CUST-60759</t>
  </si>
  <si>
    <t>Customer 1020</t>
  </si>
  <si>
    <t>PRD-951778</t>
  </si>
  <si>
    <t>Chairs Product 214</t>
  </si>
  <si>
    <t>CA-2017-144557</t>
  </si>
  <si>
    <t>CUST-42295</t>
  </si>
  <si>
    <t>Customer 4953</t>
  </si>
  <si>
    <t>PRD-712968</t>
  </si>
  <si>
    <t>Labels Product 16</t>
  </si>
  <si>
    <t>TX-2017-108092</t>
  </si>
  <si>
    <t>CUST-97938</t>
  </si>
  <si>
    <t>Customer 185</t>
  </si>
  <si>
    <t>PRD-566338</t>
  </si>
  <si>
    <t>Bookcases Product 135</t>
  </si>
  <si>
    <t>CA-2017-142674</t>
  </si>
  <si>
    <t>CUST-20301</t>
  </si>
  <si>
    <t>Customer 1643</t>
  </si>
  <si>
    <t>PRD-217947</t>
  </si>
  <si>
    <t>Accessories Product 66</t>
  </si>
  <si>
    <t>TX-2018-950476</t>
  </si>
  <si>
    <t>CUST-24817</t>
  </si>
  <si>
    <t>PRD-945715</t>
  </si>
  <si>
    <t>Accessories Product 83</t>
  </si>
  <si>
    <t>NY-2016-759695</t>
  </si>
  <si>
    <t>CUST-16499</t>
  </si>
  <si>
    <t>Customer 877</t>
  </si>
  <si>
    <t>PRD-811080</t>
  </si>
  <si>
    <t>Copiers Product 146</t>
  </si>
  <si>
    <t>NY-2018-759986</t>
  </si>
  <si>
    <t>CUST-75528</t>
  </si>
  <si>
    <t>PRD-815187</t>
  </si>
  <si>
    <t>Copiers Product 87</t>
  </si>
  <si>
    <t>TX-2016-757093</t>
  </si>
  <si>
    <t>CUST-91009</t>
  </si>
  <si>
    <t>PRD-664978</t>
  </si>
  <si>
    <t>Tables Product 52</t>
  </si>
  <si>
    <t>TX-2018-533046</t>
  </si>
  <si>
    <t>CUST-63967</t>
  </si>
  <si>
    <t>Customer 721</t>
  </si>
  <si>
    <t>PRD-417140</t>
  </si>
  <si>
    <t>CA-2016-408135</t>
  </si>
  <si>
    <t>CUST-74561</t>
  </si>
  <si>
    <t>Customer 1055</t>
  </si>
  <si>
    <t>PRD-367289</t>
  </si>
  <si>
    <t>Paper Product 116</t>
  </si>
  <si>
    <t>NY-2016-757572</t>
  </si>
  <si>
    <t>CUST-40883</t>
  </si>
  <si>
    <t>Customer 885</t>
  </si>
  <si>
    <t>PRD-400976</t>
  </si>
  <si>
    <t>Tables Product 290</t>
  </si>
  <si>
    <t>NY-2018-560968</t>
  </si>
  <si>
    <t>CUST-37236</t>
  </si>
  <si>
    <t>Customer 1839</t>
  </si>
  <si>
    <t>PRD-942671</t>
  </si>
  <si>
    <t>Bookcases Product 175</t>
  </si>
  <si>
    <t>CA-2016-870282</t>
  </si>
  <si>
    <t>CUST-54185</t>
  </si>
  <si>
    <t>Customer 4431</t>
  </si>
  <si>
    <t>PRD-815947</t>
  </si>
  <si>
    <t>Appliances Product 27</t>
  </si>
  <si>
    <t>TX-2016-646004</t>
  </si>
  <si>
    <t>CUST-53764</t>
  </si>
  <si>
    <t>Customer 606</t>
  </si>
  <si>
    <t>PRD-681895</t>
  </si>
  <si>
    <t>Furnishings Product 296</t>
  </si>
  <si>
    <t>US-2017-621228</t>
  </si>
  <si>
    <t>CUST-19811</t>
  </si>
  <si>
    <t>Customer 3191</t>
  </si>
  <si>
    <t>PRD-717594</t>
  </si>
  <si>
    <t>Bookcases Product 262</t>
  </si>
  <si>
    <t>US-2019-947799</t>
  </si>
  <si>
    <t>CUST-32277</t>
  </si>
  <si>
    <t>Customer 2884</t>
  </si>
  <si>
    <t>PRD-731851</t>
  </si>
  <si>
    <t>Chairs Product 197</t>
  </si>
  <si>
    <t>CA-2019-914999</t>
  </si>
  <si>
    <t>CUST-73257</t>
  </si>
  <si>
    <t>Customer 3391</t>
  </si>
  <si>
    <t>PRD-661415</t>
  </si>
  <si>
    <t>Accessories Product 142</t>
  </si>
  <si>
    <t>TX-2018-527003</t>
  </si>
  <si>
    <t>CUST-89434</t>
  </si>
  <si>
    <t>Customer 3080</t>
  </si>
  <si>
    <t>PRD-675015</t>
  </si>
  <si>
    <t>Tables Product 225</t>
  </si>
  <si>
    <t>TX-2019-798846</t>
  </si>
  <si>
    <t>CUST-78112</t>
  </si>
  <si>
    <t>Customer 1539</t>
  </si>
  <si>
    <t>PRD-628094</t>
  </si>
  <si>
    <t>Chairs Product 260</t>
  </si>
  <si>
    <t>US-2019-195545</t>
  </si>
  <si>
    <t>CUST-23473</t>
  </si>
  <si>
    <t>Customer 4165</t>
  </si>
  <si>
    <t>PRD-338424</t>
  </si>
  <si>
    <t>Labels Product 61</t>
  </si>
  <si>
    <t>TX-2018-767502</t>
  </si>
  <si>
    <t>CUST-37816</t>
  </si>
  <si>
    <t>Customer 3234</t>
  </si>
  <si>
    <t>PRD-729813</t>
  </si>
  <si>
    <t>Machines Product 250</t>
  </si>
  <si>
    <t>TX-2017-814804</t>
  </si>
  <si>
    <t>CUST-81835</t>
  </si>
  <si>
    <t>Customer 4961</t>
  </si>
  <si>
    <t>PRD-352639</t>
  </si>
  <si>
    <t>Storage Product 185</t>
  </si>
  <si>
    <t>TX-2019-695443</t>
  </si>
  <si>
    <t>CUST-32409</t>
  </si>
  <si>
    <t>Customer 3968</t>
  </si>
  <si>
    <t>PRD-689154</t>
  </si>
  <si>
    <t>Binders Product 115</t>
  </si>
  <si>
    <t>US-2017-971695</t>
  </si>
  <si>
    <t>CUST-11212</t>
  </si>
  <si>
    <t>Customer 3306</t>
  </si>
  <si>
    <t>PRD-384043</t>
  </si>
  <si>
    <t>Accessories Product 249</t>
  </si>
  <si>
    <t>US-2018-481774</t>
  </si>
  <si>
    <t>CUST-14072</t>
  </si>
  <si>
    <t>Customer 4906</t>
  </si>
  <si>
    <t>PRD-972251</t>
  </si>
  <si>
    <t>US-2017-552080</t>
  </si>
  <si>
    <t>CUST-53986</t>
  </si>
  <si>
    <t>Customer 1276</t>
  </si>
  <si>
    <t>PRD-248988</t>
  </si>
  <si>
    <t>Appliances Product 52</t>
  </si>
  <si>
    <t>NY-2018-648574</t>
  </si>
  <si>
    <t>CUST-36422</t>
  </si>
  <si>
    <t>Customer 1146</t>
  </si>
  <si>
    <t>PRD-525573</t>
  </si>
  <si>
    <t>Tables Product 96</t>
  </si>
  <si>
    <t>NY-2017-725211</t>
  </si>
  <si>
    <t>CUST-75184</t>
  </si>
  <si>
    <t>Customer 509</t>
  </si>
  <si>
    <t>PRD-172334</t>
  </si>
  <si>
    <t>Chairs Product 73</t>
  </si>
  <si>
    <t>US-2019-704442</t>
  </si>
  <si>
    <t>CUST-28723</t>
  </si>
  <si>
    <t>Customer 4193</t>
  </si>
  <si>
    <t>PRD-459080</t>
  </si>
  <si>
    <t>Accessories Product 53</t>
  </si>
  <si>
    <t>TX-2018-683685</t>
  </si>
  <si>
    <t>CUST-64077</t>
  </si>
  <si>
    <t>Customer 4712</t>
  </si>
  <si>
    <t>PRD-932422</t>
  </si>
  <si>
    <t>Tables Product 185</t>
  </si>
  <si>
    <t>CA-2017-800274</t>
  </si>
  <si>
    <t>CUST-67454</t>
  </si>
  <si>
    <t>Customer 3638</t>
  </si>
  <si>
    <t>PRD-374643</t>
  </si>
  <si>
    <t>US-2017-134414</t>
  </si>
  <si>
    <t>CUST-43310</t>
  </si>
  <si>
    <t>Customer 3003</t>
  </si>
  <si>
    <t>PRD-707099</t>
  </si>
  <si>
    <t>Machines Product 122</t>
  </si>
  <si>
    <t>TX-2017-842514</t>
  </si>
  <si>
    <t>CUST-46894</t>
  </si>
  <si>
    <t>Customer 1667</t>
  </si>
  <si>
    <t>PRD-861847</t>
  </si>
  <si>
    <t>US-2016-621812</t>
  </si>
  <si>
    <t>CUST-47187</t>
  </si>
  <si>
    <t>Customer 4711</t>
  </si>
  <si>
    <t>PRD-156925</t>
  </si>
  <si>
    <t>Paper Product 185</t>
  </si>
  <si>
    <t>US-2016-146367</t>
  </si>
  <si>
    <t>CUST-23167</t>
  </si>
  <si>
    <t>Customer 1833</t>
  </si>
  <si>
    <t>PRD-820875</t>
  </si>
  <si>
    <t>Paper Product 79</t>
  </si>
  <si>
    <t>CA-2017-515900</t>
  </si>
  <si>
    <t>CUST-42700</t>
  </si>
  <si>
    <t>Customer 3895</t>
  </si>
  <si>
    <t>PRD-314391</t>
  </si>
  <si>
    <t>Accessories Product 5</t>
  </si>
  <si>
    <t>NY-2018-685061</t>
  </si>
  <si>
    <t>CUST-67648</t>
  </si>
  <si>
    <t>Customer 2346</t>
  </si>
  <si>
    <t>PRD-914486</t>
  </si>
  <si>
    <t>Bookcases Product 3</t>
  </si>
  <si>
    <t>CA-2017-518914</t>
  </si>
  <si>
    <t>CUST-30819</t>
  </si>
  <si>
    <t>Customer 798</t>
  </si>
  <si>
    <t>PRD-101591</t>
  </si>
  <si>
    <t>Furnishings Product 126</t>
  </si>
  <si>
    <t>US-2017-445040</t>
  </si>
  <si>
    <t>CUST-97226</t>
  </si>
  <si>
    <t>Customer 107</t>
  </si>
  <si>
    <t>PRD-671887</t>
  </si>
  <si>
    <t>Machines Product 83</t>
  </si>
  <si>
    <t>US-2016-626979</t>
  </si>
  <si>
    <t>CUST-93759</t>
  </si>
  <si>
    <t>Customer 26</t>
  </si>
  <si>
    <t>PRD-529375</t>
  </si>
  <si>
    <t>Phones Product 56</t>
  </si>
  <si>
    <t>NY-2018-448951</t>
  </si>
  <si>
    <t>CUST-79694</t>
  </si>
  <si>
    <t>Customer 2019</t>
  </si>
  <si>
    <t>PRD-398895</t>
  </si>
  <si>
    <t>Accessories Product 257</t>
  </si>
  <si>
    <t>US-2016-238314</t>
  </si>
  <si>
    <t>CUST-58900</t>
  </si>
  <si>
    <t>Customer 871</t>
  </si>
  <si>
    <t>PRD-843410</t>
  </si>
  <si>
    <t>Phones Product 74</t>
  </si>
  <si>
    <t>CA-2019-332083</t>
  </si>
  <si>
    <t>CUST-86647</t>
  </si>
  <si>
    <t>Customer 2136</t>
  </si>
  <si>
    <t>PRD-566280</t>
  </si>
  <si>
    <t>Storage Product 261</t>
  </si>
  <si>
    <t>CA-2018-629426</t>
  </si>
  <si>
    <t>CUST-89578</t>
  </si>
  <si>
    <t>Customer 3139</t>
  </si>
  <si>
    <t>PRD-886037</t>
  </si>
  <si>
    <t>Furnishings Product 88</t>
  </si>
  <si>
    <t>TX-2016-766674</t>
  </si>
  <si>
    <t>CUST-13330</t>
  </si>
  <si>
    <t>Customer 2699</t>
  </si>
  <si>
    <t>PRD-939688</t>
  </si>
  <si>
    <t>Binders Product 97</t>
  </si>
  <si>
    <t>TX-2019-732620</t>
  </si>
  <si>
    <t>CUST-89352</t>
  </si>
  <si>
    <t>Customer 1532</t>
  </si>
  <si>
    <t>PRD-219065</t>
  </si>
  <si>
    <t>Phones Product 201</t>
  </si>
  <si>
    <t>US-2017-592921</t>
  </si>
  <si>
    <t>CUST-14502</t>
  </si>
  <si>
    <t>Customer 3887</t>
  </si>
  <si>
    <t>PRD-179620</t>
  </si>
  <si>
    <t>Accessories Product 44</t>
  </si>
  <si>
    <t>CA-2019-290560</t>
  </si>
  <si>
    <t>CUST-35430</t>
  </si>
  <si>
    <t>Customer 219</t>
  </si>
  <si>
    <t>PRD-438752</t>
  </si>
  <si>
    <t>US-2019-414810</t>
  </si>
  <si>
    <t>CUST-19637</t>
  </si>
  <si>
    <t>PRD-396493</t>
  </si>
  <si>
    <t>Art Product 261</t>
  </si>
  <si>
    <t>TX-2016-525903</t>
  </si>
  <si>
    <t>CUST-11995</t>
  </si>
  <si>
    <t>Customer 1678</t>
  </si>
  <si>
    <t>PRD-460910</t>
  </si>
  <si>
    <t>Labels Product 154</t>
  </si>
  <si>
    <t>CA-2017-395818</t>
  </si>
  <si>
    <t>CUST-94396</t>
  </si>
  <si>
    <t>Customer 2263</t>
  </si>
  <si>
    <t>PRD-330992</t>
  </si>
  <si>
    <t>Paper Product 14</t>
  </si>
  <si>
    <t>US-2019-400368</t>
  </si>
  <si>
    <t>CUST-76914</t>
  </si>
  <si>
    <t>Customer 1898</t>
  </si>
  <si>
    <t>PRD-381938</t>
  </si>
  <si>
    <t>Chairs Product 113</t>
  </si>
  <si>
    <t>US-2016-181490</t>
  </si>
  <si>
    <t>CUST-38438</t>
  </si>
  <si>
    <t>Customer 4497</t>
  </si>
  <si>
    <t>PRD-418015</t>
  </si>
  <si>
    <t>Appliances Product 288</t>
  </si>
  <si>
    <t>TX-2018-440946</t>
  </si>
  <si>
    <t>CUST-58386</t>
  </si>
  <si>
    <t>Customer 4153</t>
  </si>
  <si>
    <t>PRD-384770</t>
  </si>
  <si>
    <t>Machines Product 71</t>
  </si>
  <si>
    <t>US-2017-854464</t>
  </si>
  <si>
    <t>CUST-27661</t>
  </si>
  <si>
    <t>Customer 2565</t>
  </si>
  <si>
    <t>PRD-206749</t>
  </si>
  <si>
    <t>Appliances Product 63</t>
  </si>
  <si>
    <t>US-2017-825582</t>
  </si>
  <si>
    <t>CUST-36777</t>
  </si>
  <si>
    <t>Customer 438</t>
  </si>
  <si>
    <t>PRD-527312</t>
  </si>
  <si>
    <t>Tables Product 29</t>
  </si>
  <si>
    <t>NY-2017-259508</t>
  </si>
  <si>
    <t>CUST-90090</t>
  </si>
  <si>
    <t>Customer 3645</t>
  </si>
  <si>
    <t>PRD-240547</t>
  </si>
  <si>
    <t>NY-2018-416827</t>
  </si>
  <si>
    <t>CUST-61215</t>
  </si>
  <si>
    <t>Customer 1284</t>
  </si>
  <si>
    <t>PRD-270702</t>
  </si>
  <si>
    <t>Storage Product 147</t>
  </si>
  <si>
    <t>NY-2016-434953</t>
  </si>
  <si>
    <t>CUST-56198</t>
  </si>
  <si>
    <t>Customer 3028</t>
  </si>
  <si>
    <t>PRD-917826</t>
  </si>
  <si>
    <t>Bookcases Product 159</t>
  </si>
  <si>
    <t>TX-2019-656802</t>
  </si>
  <si>
    <t>CUST-83535</t>
  </si>
  <si>
    <t>Customer 414</t>
  </si>
  <si>
    <t>PRD-713056</t>
  </si>
  <si>
    <t>Phones Product 264</t>
  </si>
  <si>
    <t>US-2016-788790</t>
  </si>
  <si>
    <t>CUST-14926</t>
  </si>
  <si>
    <t>Customer 766</t>
  </si>
  <si>
    <t>PRD-112609</t>
  </si>
  <si>
    <t>Chairs Product 175</t>
  </si>
  <si>
    <t>US-2016-305728</t>
  </si>
  <si>
    <t>CUST-20155</t>
  </si>
  <si>
    <t>Customer 2782</t>
  </si>
  <si>
    <t>PRD-413921</t>
  </si>
  <si>
    <t>Furnishings Product 47</t>
  </si>
  <si>
    <t>US-2019-344224</t>
  </si>
  <si>
    <t>CUST-97036</t>
  </si>
  <si>
    <t>Customer 4098</t>
  </si>
  <si>
    <t>PRD-264205</t>
  </si>
  <si>
    <t>Accessories Product 35</t>
  </si>
  <si>
    <t>TX-2019-588140</t>
  </si>
  <si>
    <t>CUST-34361</t>
  </si>
  <si>
    <t>Customer 781</t>
  </si>
  <si>
    <t>PRD-587812</t>
  </si>
  <si>
    <t>Copiers Product 297</t>
  </si>
  <si>
    <t>US-2017-480254</t>
  </si>
  <si>
    <t>CUST-81149</t>
  </si>
  <si>
    <t>Customer 3329</t>
  </si>
  <si>
    <t>PRD-846147</t>
  </si>
  <si>
    <t>Copiers Product 221</t>
  </si>
  <si>
    <t>US-2018-709549</t>
  </si>
  <si>
    <t>CUST-28730</t>
  </si>
  <si>
    <t>Customer 4537</t>
  </si>
  <si>
    <t>PRD-793966</t>
  </si>
  <si>
    <t>Machines Product 127</t>
  </si>
  <si>
    <t>CA-2019-913101</t>
  </si>
  <si>
    <t>CUST-29355</t>
  </si>
  <si>
    <t>Customer 2246</t>
  </si>
  <si>
    <t>PRD-478739</t>
  </si>
  <si>
    <t>Machines Product 74</t>
  </si>
  <si>
    <t>TX-2016-386156</t>
  </si>
  <si>
    <t>CUST-57596</t>
  </si>
  <si>
    <t>Customer 636</t>
  </si>
  <si>
    <t>PRD-244716</t>
  </si>
  <si>
    <t>Storage Product 173</t>
  </si>
  <si>
    <t>NY-2017-447020</t>
  </si>
  <si>
    <t>CUST-94200</t>
  </si>
  <si>
    <t>Customer 1702</t>
  </si>
  <si>
    <t>PRD-120138</t>
  </si>
  <si>
    <t>Paper Product 114</t>
  </si>
  <si>
    <t>US-2018-563644</t>
  </si>
  <si>
    <t>CUST-75562</t>
  </si>
  <si>
    <t>Customer 3993</t>
  </si>
  <si>
    <t>PRD-447771</t>
  </si>
  <si>
    <t>Accessories Product 17</t>
  </si>
  <si>
    <t>TX-2016-878443</t>
  </si>
  <si>
    <t>CUST-19755</t>
  </si>
  <si>
    <t>Customer 2096</t>
  </si>
  <si>
    <t>PRD-671903</t>
  </si>
  <si>
    <t>Tables Product 288</t>
  </si>
  <si>
    <t>US-2018-734787</t>
  </si>
  <si>
    <t>CUST-37579</t>
  </si>
  <si>
    <t>Customer 3233</t>
  </si>
  <si>
    <t>PRD-365311</t>
  </si>
  <si>
    <t>Bookcases Product 279</t>
  </si>
  <si>
    <t>CA-2017-185413</t>
  </si>
  <si>
    <t>CUST-60746</t>
  </si>
  <si>
    <t>Customer 1213</t>
  </si>
  <si>
    <t>PRD-551452</t>
  </si>
  <si>
    <t>Copiers Product 233</t>
  </si>
  <si>
    <t>TX-2017-670007</t>
  </si>
  <si>
    <t>CUST-68531</t>
  </si>
  <si>
    <t>PRD-898039</t>
  </si>
  <si>
    <t>Labels Product 191</t>
  </si>
  <si>
    <t>US-2019-308653</t>
  </si>
  <si>
    <t>CUST-80802</t>
  </si>
  <si>
    <t>Customer 2076</t>
  </si>
  <si>
    <t>PRD-425958</t>
  </si>
  <si>
    <t>Phones Product 22</t>
  </si>
  <si>
    <t>NY-2018-107882</t>
  </si>
  <si>
    <t>CUST-41406</t>
  </si>
  <si>
    <t>Customer 4073</t>
  </si>
  <si>
    <t>PRD-196081</t>
  </si>
  <si>
    <t>Tables Product 27</t>
  </si>
  <si>
    <t>NY-2016-518805</t>
  </si>
  <si>
    <t>CUST-55995</t>
  </si>
  <si>
    <t>Customer 2726</t>
  </si>
  <si>
    <t>PRD-174424</t>
  </si>
  <si>
    <t>Furnishings Product 214</t>
  </si>
  <si>
    <t>TX-2018-429769</t>
  </si>
  <si>
    <t>CUST-32424</t>
  </si>
  <si>
    <t>Customer 2110</t>
  </si>
  <si>
    <t>PRD-183801</t>
  </si>
  <si>
    <t>Furnishings Product 173</t>
  </si>
  <si>
    <t>US-2017-389847</t>
  </si>
  <si>
    <t>CUST-66995</t>
  </si>
  <si>
    <t>Customer 376</t>
  </si>
  <si>
    <t>PRD-188070</t>
  </si>
  <si>
    <t>Tables Product 57</t>
  </si>
  <si>
    <t>TX-2018-307033</t>
  </si>
  <si>
    <t>CUST-95323</t>
  </si>
  <si>
    <t>Customer 1125</t>
  </si>
  <si>
    <t>PRD-309688</t>
  </si>
  <si>
    <t>Storage Product 122</t>
  </si>
  <si>
    <t>TX-2017-950178</t>
  </si>
  <si>
    <t>CUST-29034</t>
  </si>
  <si>
    <t>Customer 2198</t>
  </si>
  <si>
    <t>PRD-461399</t>
  </si>
  <si>
    <t>NY-2016-213460</t>
  </si>
  <si>
    <t>CUST-79542</t>
  </si>
  <si>
    <t>Customer 3314</t>
  </si>
  <si>
    <t>PRD-886547</t>
  </si>
  <si>
    <t>Phones Product 87</t>
  </si>
  <si>
    <t>NY-2019-635863</t>
  </si>
  <si>
    <t>CUST-79003</t>
  </si>
  <si>
    <t>Customer 3025</t>
  </si>
  <si>
    <t>PRD-430089</t>
  </si>
  <si>
    <t>TX-2017-425646</t>
  </si>
  <si>
    <t>CUST-76274</t>
  </si>
  <si>
    <t>PRD-579410</t>
  </si>
  <si>
    <t>Paper Product 151</t>
  </si>
  <si>
    <t>CA-2018-896880</t>
  </si>
  <si>
    <t>CUST-52197</t>
  </si>
  <si>
    <t>Customer 786</t>
  </si>
  <si>
    <t>PRD-702097</t>
  </si>
  <si>
    <t>Art Product 120</t>
  </si>
  <si>
    <t>TX-2018-541181</t>
  </si>
  <si>
    <t>CUST-53752</t>
  </si>
  <si>
    <t>Customer 4442</t>
  </si>
  <si>
    <t>PRD-504693</t>
  </si>
  <si>
    <t>Accessories Product 65</t>
  </si>
  <si>
    <t>NY-2016-803919</t>
  </si>
  <si>
    <t>CUST-44213</t>
  </si>
  <si>
    <t>Customer 4524</t>
  </si>
  <si>
    <t>PRD-419811</t>
  </si>
  <si>
    <t>Binders Product 139</t>
  </si>
  <si>
    <t>CA-2016-523570</t>
  </si>
  <si>
    <t>CUST-39367</t>
  </si>
  <si>
    <t>Customer 3324</t>
  </si>
  <si>
    <t>PRD-391991</t>
  </si>
  <si>
    <t>CA-2016-783757</t>
  </si>
  <si>
    <t>CUST-88063</t>
  </si>
  <si>
    <t>Customer 3115</t>
  </si>
  <si>
    <t>PRD-614048</t>
  </si>
  <si>
    <t>Chairs Product 200</t>
  </si>
  <si>
    <t>TX-2019-911656</t>
  </si>
  <si>
    <t>CUST-84696</t>
  </si>
  <si>
    <t>Customer 1083</t>
  </si>
  <si>
    <t>PRD-285386</t>
  </si>
  <si>
    <t>Tables Product 16</t>
  </si>
  <si>
    <t>NY-2018-878146</t>
  </si>
  <si>
    <t>CUST-89897</t>
  </si>
  <si>
    <t>PRD-854949</t>
  </si>
  <si>
    <t>NY-2017-465635</t>
  </si>
  <si>
    <t>CUST-84521</t>
  </si>
  <si>
    <t>Customer 1674</t>
  </si>
  <si>
    <t>PRD-860089</t>
  </si>
  <si>
    <t>US-2018-765695</t>
  </si>
  <si>
    <t>CUST-14691</t>
  </si>
  <si>
    <t>PRD-419302</t>
  </si>
  <si>
    <t>Storage Product 66</t>
  </si>
  <si>
    <t>US-2019-366837</t>
  </si>
  <si>
    <t>CUST-91750</t>
  </si>
  <si>
    <t>Customer 3686</t>
  </si>
  <si>
    <t>PRD-213483</t>
  </si>
  <si>
    <t>Copiers Product 189</t>
  </si>
  <si>
    <t>TX-2017-432282</t>
  </si>
  <si>
    <t>CUST-89783</t>
  </si>
  <si>
    <t>Customer 3369</t>
  </si>
  <si>
    <t>PRD-886633</t>
  </si>
  <si>
    <t>Bookcases Product 120</t>
  </si>
  <si>
    <t>TX-2019-390983</t>
  </si>
  <si>
    <t>CUST-55841</t>
  </si>
  <si>
    <t>Customer 1370</t>
  </si>
  <si>
    <t>PRD-272423</t>
  </si>
  <si>
    <t>Copiers Product 170</t>
  </si>
  <si>
    <t>CA-2019-543455</t>
  </si>
  <si>
    <t>CUST-97234</t>
  </si>
  <si>
    <t>Customer 4800</t>
  </si>
  <si>
    <t>PRD-962551</t>
  </si>
  <si>
    <t>Art Product 294</t>
  </si>
  <si>
    <t>CUST-49268</t>
  </si>
  <si>
    <t>Customer 1905</t>
  </si>
  <si>
    <t>PRD-888226</t>
  </si>
  <si>
    <t>Art Product 136</t>
  </si>
  <si>
    <t>US-2019-655570</t>
  </si>
  <si>
    <t>CUST-65048</t>
  </si>
  <si>
    <t>Customer 178</t>
  </si>
  <si>
    <t>PRD-732498</t>
  </si>
  <si>
    <t>Storage Product 97</t>
  </si>
  <si>
    <t>NY-2019-979315</t>
  </si>
  <si>
    <t>CUST-16175</t>
  </si>
  <si>
    <t>Customer 307</t>
  </si>
  <si>
    <t>PRD-999037</t>
  </si>
  <si>
    <t>Furnishings Product 97</t>
  </si>
  <si>
    <t>CA-2018-165852</t>
  </si>
  <si>
    <t>CUST-51212</t>
  </si>
  <si>
    <t>Customer 2272</t>
  </si>
  <si>
    <t>PRD-262211</t>
  </si>
  <si>
    <t>Accessories Product 34</t>
  </si>
  <si>
    <t>CA-2017-747063</t>
  </si>
  <si>
    <t>CUST-87680</t>
  </si>
  <si>
    <t>Customer 2135</t>
  </si>
  <si>
    <t>PRD-707655</t>
  </si>
  <si>
    <t>TX-2016-389642</t>
  </si>
  <si>
    <t>CUST-94423</t>
  </si>
  <si>
    <t>Customer 4597</t>
  </si>
  <si>
    <t>PRD-277859</t>
  </si>
  <si>
    <t>Copiers Product 232</t>
  </si>
  <si>
    <t>US-2019-848479</t>
  </si>
  <si>
    <t>CUST-18692</t>
  </si>
  <si>
    <t>Customer 324</t>
  </si>
  <si>
    <t>PRD-233836</t>
  </si>
  <si>
    <t>Storage Product 2</t>
  </si>
  <si>
    <t>US-2019-325979</t>
  </si>
  <si>
    <t>CUST-44389</t>
  </si>
  <si>
    <t>Customer 1171</t>
  </si>
  <si>
    <t>PRD-534488</t>
  </si>
  <si>
    <t>Furnishings Product 184</t>
  </si>
  <si>
    <t>NY-2016-589953</t>
  </si>
  <si>
    <t>CUST-47274</t>
  </si>
  <si>
    <t>Customer 4113</t>
  </si>
  <si>
    <t>PRD-256397</t>
  </si>
  <si>
    <t>Accessories Product 144</t>
  </si>
  <si>
    <t>NY-2017-674740</t>
  </si>
  <si>
    <t>CUST-25445</t>
  </si>
  <si>
    <t>PRD-978352</t>
  </si>
  <si>
    <t>Phones Product 141</t>
  </si>
  <si>
    <t>US-2018-795621</t>
  </si>
  <si>
    <t>CUST-46046</t>
  </si>
  <si>
    <t>Customer 2520</t>
  </si>
  <si>
    <t>PRD-411249</t>
  </si>
  <si>
    <t>Phones Product 10</t>
  </si>
  <si>
    <t>NY-2017-214162</t>
  </si>
  <si>
    <t>CUST-37755</t>
  </si>
  <si>
    <t>Customer 2764</t>
  </si>
  <si>
    <t>PRD-452082</t>
  </si>
  <si>
    <t>Chairs Product 179</t>
  </si>
  <si>
    <t>US-2019-749747</t>
  </si>
  <si>
    <t>CUST-14134</t>
  </si>
  <si>
    <t>Customer 3832</t>
  </si>
  <si>
    <t>PRD-397793</t>
  </si>
  <si>
    <t>Paper Product 174</t>
  </si>
  <si>
    <t>CA-2018-439103</t>
  </si>
  <si>
    <t>CUST-27717</t>
  </si>
  <si>
    <t>Customer 166</t>
  </si>
  <si>
    <t>PRD-873852</t>
  </si>
  <si>
    <t>Phones Product 65</t>
  </si>
  <si>
    <t>US-2019-931843</t>
  </si>
  <si>
    <t>CUST-27108</t>
  </si>
  <si>
    <t>PRD-442062</t>
  </si>
  <si>
    <t>Copiers Product 288</t>
  </si>
  <si>
    <t>CA-2017-286830</t>
  </si>
  <si>
    <t>CUST-52365</t>
  </si>
  <si>
    <t>Customer 3976</t>
  </si>
  <si>
    <t>PRD-934166</t>
  </si>
  <si>
    <t>Labels Product 28</t>
  </si>
  <si>
    <t>TX-2019-323337</t>
  </si>
  <si>
    <t>CUST-23025</t>
  </si>
  <si>
    <t>Customer 3606</t>
  </si>
  <si>
    <t>PRD-252564</t>
  </si>
  <si>
    <t>Tables Product 205</t>
  </si>
  <si>
    <t>US-2018-629352</t>
  </si>
  <si>
    <t>CUST-10778</t>
  </si>
  <si>
    <t>PRD-949947</t>
  </si>
  <si>
    <t>Labels Product 162</t>
  </si>
  <si>
    <t>TX-2017-828935</t>
  </si>
  <si>
    <t>CUST-56799</t>
  </si>
  <si>
    <t>Customer 4200</t>
  </si>
  <si>
    <t>PRD-724662</t>
  </si>
  <si>
    <t>Labels Product 138</t>
  </si>
  <si>
    <t>NY-2018-375016</t>
  </si>
  <si>
    <t>CUST-44032</t>
  </si>
  <si>
    <t>Customer 655</t>
  </si>
  <si>
    <t>PRD-517211</t>
  </si>
  <si>
    <t>Furnishings Product 165</t>
  </si>
  <si>
    <t>US-2018-697725</t>
  </si>
  <si>
    <t>CUST-27983</t>
  </si>
  <si>
    <t>Customer 759</t>
  </si>
  <si>
    <t>PRD-791650</t>
  </si>
  <si>
    <t>Paper Product 164</t>
  </si>
  <si>
    <t>TX-2018-391672</t>
  </si>
  <si>
    <t>CUST-54093</t>
  </si>
  <si>
    <t>Customer 3839</t>
  </si>
  <si>
    <t>PRD-804315</t>
  </si>
  <si>
    <t>Binders Product 86</t>
  </si>
  <si>
    <t>TX-2016-784118</t>
  </si>
  <si>
    <t>CUST-85724</t>
  </si>
  <si>
    <t>PRD-527626</t>
  </si>
  <si>
    <t>TX-2017-383522</t>
  </si>
  <si>
    <t>Customer 762</t>
  </si>
  <si>
    <t>PRD-730246</t>
  </si>
  <si>
    <t>Binders Product 4</t>
  </si>
  <si>
    <t>CA-2019-564165</t>
  </si>
  <si>
    <t>CUST-49013</t>
  </si>
  <si>
    <t>PRD-212979</t>
  </si>
  <si>
    <t>Storage Product 63</t>
  </si>
  <si>
    <t>NY-2018-156992</t>
  </si>
  <si>
    <t>CUST-83069</t>
  </si>
  <si>
    <t>Customer 818</t>
  </si>
  <si>
    <t>PRD-616209</t>
  </si>
  <si>
    <t>Chairs Product 123</t>
  </si>
  <si>
    <t>US-2018-231987</t>
  </si>
  <si>
    <t>CUST-32913</t>
  </si>
  <si>
    <t>Customer 3648</t>
  </si>
  <si>
    <t>PRD-365069</t>
  </si>
  <si>
    <t>Machines Product 202</t>
  </si>
  <si>
    <t>CA-2019-577467</t>
  </si>
  <si>
    <t>CUST-88147</t>
  </si>
  <si>
    <t>Customer 4773</t>
  </si>
  <si>
    <t>PRD-606367</t>
  </si>
  <si>
    <t>Art Product 117</t>
  </si>
  <si>
    <t>US-2017-971266</t>
  </si>
  <si>
    <t>CUST-27631</t>
  </si>
  <si>
    <t>Customer 3482</t>
  </si>
  <si>
    <t>PRD-961366</t>
  </si>
  <si>
    <t>US-2018-587238</t>
  </si>
  <si>
    <t>CUST-90127</t>
  </si>
  <si>
    <t>Customer 3104</t>
  </si>
  <si>
    <t>PRD-615325</t>
  </si>
  <si>
    <t>US-2016-352072</t>
  </si>
  <si>
    <t>CUST-69862</t>
  </si>
  <si>
    <t>Customer 2803</t>
  </si>
  <si>
    <t>PRD-416075</t>
  </si>
  <si>
    <t>Chairs Product 98</t>
  </si>
  <si>
    <t>US-2017-338216</t>
  </si>
  <si>
    <t>CUST-63122</t>
  </si>
  <si>
    <t>Customer 441</t>
  </si>
  <si>
    <t>PRD-499057</t>
  </si>
  <si>
    <t>Appliances Product 44</t>
  </si>
  <si>
    <t>TX-2019-483477</t>
  </si>
  <si>
    <t>CUST-88183</t>
  </si>
  <si>
    <t>Customer 444</t>
  </si>
  <si>
    <t>PRD-985165</t>
  </si>
  <si>
    <t>Tables Product 89</t>
  </si>
  <si>
    <t>NY-2016-279085</t>
  </si>
  <si>
    <t>CUST-16011</t>
  </si>
  <si>
    <t>Customer 2626</t>
  </si>
  <si>
    <t>PRD-261745</t>
  </si>
  <si>
    <t>Copiers Product 89</t>
  </si>
  <si>
    <t>CA-2017-302322</t>
  </si>
  <si>
    <t>CUST-70915</t>
  </si>
  <si>
    <t>Customer 1849</t>
  </si>
  <si>
    <t>PRD-694034</t>
  </si>
  <si>
    <t>Appliances Product 118</t>
  </si>
  <si>
    <t>TX-2018-672364</t>
  </si>
  <si>
    <t>CUST-95711</t>
  </si>
  <si>
    <t>Customer 3137</t>
  </si>
  <si>
    <t>PRD-992465</t>
  </si>
  <si>
    <t>Phones Product 50</t>
  </si>
  <si>
    <t>NY-2017-271970</t>
  </si>
  <si>
    <t>CUST-81065</t>
  </si>
  <si>
    <t>Customer 2458</t>
  </si>
  <si>
    <t>PRD-824666</t>
  </si>
  <si>
    <t>Storage Product 95</t>
  </si>
  <si>
    <t>TX-2018-216507</t>
  </si>
  <si>
    <t>CUST-87239</t>
  </si>
  <si>
    <t>Customer 2317</t>
  </si>
  <si>
    <t>PRD-305453</t>
  </si>
  <si>
    <t>Bookcases Product 112</t>
  </si>
  <si>
    <t>TX-2016-865597</t>
  </si>
  <si>
    <t>CUST-44130</t>
  </si>
  <si>
    <t>Customer 4755</t>
  </si>
  <si>
    <t>PRD-784752</t>
  </si>
  <si>
    <t>Bookcases Product 25</t>
  </si>
  <si>
    <t>TX-2017-413115</t>
  </si>
  <si>
    <t>CUST-60909</t>
  </si>
  <si>
    <t>Customer 989</t>
  </si>
  <si>
    <t>PRD-268106</t>
  </si>
  <si>
    <t>Machines Product 161</t>
  </si>
  <si>
    <t>TX-2018-175399</t>
  </si>
  <si>
    <t>CUST-56300</t>
  </si>
  <si>
    <t>Customer 4783</t>
  </si>
  <si>
    <t>PRD-390595</t>
  </si>
  <si>
    <t>Storage Product 278</t>
  </si>
  <si>
    <t>CA-2018-570244</t>
  </si>
  <si>
    <t>CUST-57102</t>
  </si>
  <si>
    <t>PRD-517737</t>
  </si>
  <si>
    <t>Bookcases Product 222</t>
  </si>
  <si>
    <t>NY-2017-178835</t>
  </si>
  <si>
    <t>CUST-85556</t>
  </si>
  <si>
    <t>Customer 1060</t>
  </si>
  <si>
    <t>PRD-893508</t>
  </si>
  <si>
    <t>Phones Product 80</t>
  </si>
  <si>
    <t>CA-2016-707728</t>
  </si>
  <si>
    <t>CUST-47592</t>
  </si>
  <si>
    <t>PRD-459360</t>
  </si>
  <si>
    <t>Accessories Product 136</t>
  </si>
  <si>
    <t>TX-2019-917993</t>
  </si>
  <si>
    <t>CUST-19056</t>
  </si>
  <si>
    <t>Customer 4584</t>
  </si>
  <si>
    <t>PRD-152241</t>
  </si>
  <si>
    <t>Accessories Product 131</t>
  </si>
  <si>
    <t>CA-2017-714456</t>
  </si>
  <si>
    <t>CUST-58139</t>
  </si>
  <si>
    <t>Customer 3658</t>
  </si>
  <si>
    <t>PRD-777186</t>
  </si>
  <si>
    <t>Paper Product 159</t>
  </si>
  <si>
    <t>US-2018-189879</t>
  </si>
  <si>
    <t>CUST-75769</t>
  </si>
  <si>
    <t>Customer 738</t>
  </si>
  <si>
    <t>PRD-846502</t>
  </si>
  <si>
    <t>Tables Product 196</t>
  </si>
  <si>
    <t>US-2019-268176</t>
  </si>
  <si>
    <t>CUST-53786</t>
  </si>
  <si>
    <t>PRD-310452</t>
  </si>
  <si>
    <t>Furnishings Product 75</t>
  </si>
  <si>
    <t>TX-2019-287806</t>
  </si>
  <si>
    <t>CUST-68581</t>
  </si>
  <si>
    <t>Customer 1585</t>
  </si>
  <si>
    <t>PRD-576266</t>
  </si>
  <si>
    <t>Art Product 285</t>
  </si>
  <si>
    <t>NY-2016-333409</t>
  </si>
  <si>
    <t>CUST-57959</t>
  </si>
  <si>
    <t>Customer 3572</t>
  </si>
  <si>
    <t>PRD-427793</t>
  </si>
  <si>
    <t>Chairs Product 111</t>
  </si>
  <si>
    <t>NY-2017-305388</t>
  </si>
  <si>
    <t>CUST-53744</t>
  </si>
  <si>
    <t>Customer 2212</t>
  </si>
  <si>
    <t>PRD-292818</t>
  </si>
  <si>
    <t>Art Product 158</t>
  </si>
  <si>
    <t>CA-2019-200559</t>
  </si>
  <si>
    <t>CUST-42297</t>
  </si>
  <si>
    <t>Customer 4615</t>
  </si>
  <si>
    <t>PRD-622888</t>
  </si>
  <si>
    <t>Machines Product 14</t>
  </si>
  <si>
    <t>NY-2016-702395</t>
  </si>
  <si>
    <t>CUST-96027</t>
  </si>
  <si>
    <t>Customer 3293</t>
  </si>
  <si>
    <t>PRD-352159</t>
  </si>
  <si>
    <t>Bookcases Product 240</t>
  </si>
  <si>
    <t>US-2016-778710</t>
  </si>
  <si>
    <t>CUST-81815</t>
  </si>
  <si>
    <t>Customer 948</t>
  </si>
  <si>
    <t>PRD-750162</t>
  </si>
  <si>
    <t>Labels Product 52</t>
  </si>
  <si>
    <t>NY-2019-617364</t>
  </si>
  <si>
    <t>CUST-82179</t>
  </si>
  <si>
    <t>Customer 3916</t>
  </si>
  <si>
    <t>PRD-520025</t>
  </si>
  <si>
    <t>Copiers Product 121</t>
  </si>
  <si>
    <t>NY-2017-344667</t>
  </si>
  <si>
    <t>CUST-21889</t>
  </si>
  <si>
    <t>Customer 4464</t>
  </si>
  <si>
    <t>PRD-532313</t>
  </si>
  <si>
    <t>NY-2019-168925</t>
  </si>
  <si>
    <t>CUST-75551</t>
  </si>
  <si>
    <t>Customer 3856</t>
  </si>
  <si>
    <t>PRD-930900</t>
  </si>
  <si>
    <t>Appliances Product 230</t>
  </si>
  <si>
    <t>NY-2019-817546</t>
  </si>
  <si>
    <t>CUST-44929</t>
  </si>
  <si>
    <t>Customer 3073</t>
  </si>
  <si>
    <t>PRD-481385</t>
  </si>
  <si>
    <t>Phones Product 45</t>
  </si>
  <si>
    <t>NY-2019-931593</t>
  </si>
  <si>
    <t>CUST-43079</t>
  </si>
  <si>
    <t>Customer 3120</t>
  </si>
  <si>
    <t>PRD-198274</t>
  </si>
  <si>
    <t>Bookcases Product 194</t>
  </si>
  <si>
    <t>TX-2017-911570</t>
  </si>
  <si>
    <t>CUST-23867</t>
  </si>
  <si>
    <t>Customer 4262</t>
  </si>
  <si>
    <t>PRD-437266</t>
  </si>
  <si>
    <t>Appliances Product 110</t>
  </si>
  <si>
    <t>NY-2017-815067</t>
  </si>
  <si>
    <t>CUST-97425</t>
  </si>
  <si>
    <t>Customer 3386</t>
  </si>
  <si>
    <t>PRD-731639</t>
  </si>
  <si>
    <t>Chairs Product 60</t>
  </si>
  <si>
    <t>US-2018-110637</t>
  </si>
  <si>
    <t>CUST-13192</t>
  </si>
  <si>
    <t>Customer 3427</t>
  </si>
  <si>
    <t>PRD-458250</t>
  </si>
  <si>
    <t>Appliances Product 105</t>
  </si>
  <si>
    <t>NY-2018-211433</t>
  </si>
  <si>
    <t>CUST-39258</t>
  </si>
  <si>
    <t>Customer 4787</t>
  </si>
  <si>
    <t>PRD-899808</t>
  </si>
  <si>
    <t>Machines Product 251</t>
  </si>
  <si>
    <t>CA-2019-868120</t>
  </si>
  <si>
    <t>CUST-22444</t>
  </si>
  <si>
    <t>Customer 1507</t>
  </si>
  <si>
    <t>PRD-447566</t>
  </si>
  <si>
    <t>Chairs Product 264</t>
  </si>
  <si>
    <t>TX-2016-996504</t>
  </si>
  <si>
    <t>CUST-95876</t>
  </si>
  <si>
    <t>Customer 2615</t>
  </si>
  <si>
    <t>PRD-888866</t>
  </si>
  <si>
    <t>Accessories Product 206</t>
  </si>
  <si>
    <t>CA-2018-638999</t>
  </si>
  <si>
    <t>CUST-59316</t>
  </si>
  <si>
    <t>Customer 4053</t>
  </si>
  <si>
    <t>PRD-829777</t>
  </si>
  <si>
    <t>Labels Product 23</t>
  </si>
  <si>
    <t>TX-2019-140572</t>
  </si>
  <si>
    <t>CUST-28638</t>
  </si>
  <si>
    <t>Customer 4675</t>
  </si>
  <si>
    <t>PRD-213397</t>
  </si>
  <si>
    <t>US-2019-625252</t>
  </si>
  <si>
    <t>CUST-12276</t>
  </si>
  <si>
    <t>PRD-591844</t>
  </si>
  <si>
    <t>Machines Product 213</t>
  </si>
  <si>
    <t>TX-2019-740163</t>
  </si>
  <si>
    <t>CUST-57658</t>
  </si>
  <si>
    <t>Customer 833</t>
  </si>
  <si>
    <t>PRD-255903</t>
  </si>
  <si>
    <t>Accessories Product 186</t>
  </si>
  <si>
    <t>TX-2019-764671</t>
  </si>
  <si>
    <t>CUST-47248</t>
  </si>
  <si>
    <t>Customer 990</t>
  </si>
  <si>
    <t>PRD-104702</t>
  </si>
  <si>
    <t>Paper Product 137</t>
  </si>
  <si>
    <t>NY-2016-309702</t>
  </si>
  <si>
    <t>CUST-46558</t>
  </si>
  <si>
    <t>Customer 3138</t>
  </si>
  <si>
    <t>PRD-172011</t>
  </si>
  <si>
    <t>Bookcases Product 10</t>
  </si>
  <si>
    <t>US-2019-435900</t>
  </si>
  <si>
    <t>CUST-63577</t>
  </si>
  <si>
    <t>Customer 3344</t>
  </si>
  <si>
    <t>PRD-670288</t>
  </si>
  <si>
    <t>Furnishings Product 244</t>
  </si>
  <si>
    <t>US-2019-163842</t>
  </si>
  <si>
    <t>CUST-46980</t>
  </si>
  <si>
    <t>Customer 1107</t>
  </si>
  <si>
    <t>PRD-386114</t>
  </si>
  <si>
    <t>NY-2019-832721</t>
  </si>
  <si>
    <t>CUST-94739</t>
  </si>
  <si>
    <t>PRD-593418</t>
  </si>
  <si>
    <t>Copiers Product 271</t>
  </si>
  <si>
    <t>TX-2019-170844</t>
  </si>
  <si>
    <t>CUST-95130</t>
  </si>
  <si>
    <t>Customer 2713</t>
  </si>
  <si>
    <t>PRD-458458</t>
  </si>
  <si>
    <t>Accessories Product 160</t>
  </si>
  <si>
    <t>NY-2017-874264</t>
  </si>
  <si>
    <t>CUST-85004</t>
  </si>
  <si>
    <t>Customer 3256</t>
  </si>
  <si>
    <t>PRD-797511</t>
  </si>
  <si>
    <t>Art Product 225</t>
  </si>
  <si>
    <t>TX-2016-761566</t>
  </si>
  <si>
    <t>CUST-89673</t>
  </si>
  <si>
    <t>PRD-517745</t>
  </si>
  <si>
    <t>CA-2018-160334</t>
  </si>
  <si>
    <t>CUST-29141</t>
  </si>
  <si>
    <t>Customer 1368</t>
  </si>
  <si>
    <t>PRD-176165</t>
  </si>
  <si>
    <t>Storage Product 290</t>
  </si>
  <si>
    <t>CA-2017-833624</t>
  </si>
  <si>
    <t>CUST-81356</t>
  </si>
  <si>
    <t>Customer 3585</t>
  </si>
  <si>
    <t>PRD-875949</t>
  </si>
  <si>
    <t>Storage Product 294</t>
  </si>
  <si>
    <t>NY-2016-316499</t>
  </si>
  <si>
    <t>CUST-89225</t>
  </si>
  <si>
    <t>Customer 4118</t>
  </si>
  <si>
    <t>PRD-200168</t>
  </si>
  <si>
    <t>Tables Product 291</t>
  </si>
  <si>
    <t>US-2017-885087</t>
  </si>
  <si>
    <t>CUST-85162</t>
  </si>
  <si>
    <t>Customer 44</t>
  </si>
  <si>
    <t>PRD-205283</t>
  </si>
  <si>
    <t>CA-2017-659606</t>
  </si>
  <si>
    <t>CUST-69991</t>
  </si>
  <si>
    <t>Customer 4500</t>
  </si>
  <si>
    <t>PRD-986587</t>
  </si>
  <si>
    <t>Art Product 32</t>
  </si>
  <si>
    <t>US-2019-846969</t>
  </si>
  <si>
    <t>CUST-86850</t>
  </si>
  <si>
    <t>Customer 2784</t>
  </si>
  <si>
    <t>PRD-662835</t>
  </si>
  <si>
    <t>Appliances Product 258</t>
  </si>
  <si>
    <t>CA-2017-519498</t>
  </si>
  <si>
    <t>CUST-10713</t>
  </si>
  <si>
    <t>Customer 4859</t>
  </si>
  <si>
    <t>PRD-261181</t>
  </si>
  <si>
    <t>US-2018-862055</t>
  </si>
  <si>
    <t>CUST-24425</t>
  </si>
  <si>
    <t>Customer 2024</t>
  </si>
  <si>
    <t>PRD-208559</t>
  </si>
  <si>
    <t>Art Product 21</t>
  </si>
  <si>
    <t>TX-2017-222639</t>
  </si>
  <si>
    <t>CUST-80790</t>
  </si>
  <si>
    <t>Customer 1248</t>
  </si>
  <si>
    <t>PRD-491607</t>
  </si>
  <si>
    <t>US-2019-893762</t>
  </si>
  <si>
    <t>CUST-27897</t>
  </si>
  <si>
    <t>Customer 3992</t>
  </si>
  <si>
    <t>PRD-696576</t>
  </si>
  <si>
    <t>Phones Product 209</t>
  </si>
  <si>
    <t>CA-2019-982584</t>
  </si>
  <si>
    <t>CUST-49316</t>
  </si>
  <si>
    <t>PRD-518759</t>
  </si>
  <si>
    <t>Tables Product 53</t>
  </si>
  <si>
    <t>CA-2019-195611</t>
  </si>
  <si>
    <t>CUST-12090</t>
  </si>
  <si>
    <t>Customer 1751</t>
  </si>
  <si>
    <t>PRD-989595</t>
  </si>
  <si>
    <t>Furnishings Product 40</t>
  </si>
  <si>
    <t>NY-2019-183423</t>
  </si>
  <si>
    <t>CUST-90482</t>
  </si>
  <si>
    <t>Customer 4703</t>
  </si>
  <si>
    <t>PRD-414258</t>
  </si>
  <si>
    <t>Binders Product 25</t>
  </si>
  <si>
    <t>NY-2016-516372</t>
  </si>
  <si>
    <t>CUST-50662</t>
  </si>
  <si>
    <t>Customer 4718</t>
  </si>
  <si>
    <t>PRD-297271</t>
  </si>
  <si>
    <t>Binders Product 259</t>
  </si>
  <si>
    <t>TX-2016-234534</t>
  </si>
  <si>
    <t>CUST-59654</t>
  </si>
  <si>
    <t>Customer 3737</t>
  </si>
  <si>
    <t>PRD-287816</t>
  </si>
  <si>
    <t>Copiers Product 245</t>
  </si>
  <si>
    <t>CA-2017-827990</t>
  </si>
  <si>
    <t>CUST-78203</t>
  </si>
  <si>
    <t>Customer 2926</t>
  </si>
  <si>
    <t>PRD-683746</t>
  </si>
  <si>
    <t>Copiers Product 29</t>
  </si>
  <si>
    <t>NY-2018-210396</t>
  </si>
  <si>
    <t>CUST-30497</t>
  </si>
  <si>
    <t>Customer 3546</t>
  </si>
  <si>
    <t>PRD-920953</t>
  </si>
  <si>
    <t>Phones Product 144</t>
  </si>
  <si>
    <t>US-2016-778019</t>
  </si>
  <si>
    <t>CUST-77522</t>
  </si>
  <si>
    <t>Customer 2701</t>
  </si>
  <si>
    <t>PRD-492020</t>
  </si>
  <si>
    <t>Chairs Product 37</t>
  </si>
  <si>
    <t>NY-2017-304702</t>
  </si>
  <si>
    <t>CUST-57852</t>
  </si>
  <si>
    <t>Customer 2302</t>
  </si>
  <si>
    <t>PRD-168511</t>
  </si>
  <si>
    <t>Copiers Product 223</t>
  </si>
  <si>
    <t>NY-2019-755012</t>
  </si>
  <si>
    <t>CUST-70817</t>
  </si>
  <si>
    <t>PRD-100704</t>
  </si>
  <si>
    <t>Binders Product 30</t>
  </si>
  <si>
    <t>US-2016-980711</t>
  </si>
  <si>
    <t>CUST-26156</t>
  </si>
  <si>
    <t>Customer 4929</t>
  </si>
  <si>
    <t>PRD-323437</t>
  </si>
  <si>
    <t>Accessories Product 244</t>
  </si>
  <si>
    <t>TX-2019-796477</t>
  </si>
  <si>
    <t>CUST-89427</t>
  </si>
  <si>
    <t>Customer 3195</t>
  </si>
  <si>
    <t>PRD-205939</t>
  </si>
  <si>
    <t>Machines Product 156</t>
  </si>
  <si>
    <t>TX-2017-376702</t>
  </si>
  <si>
    <t>CUST-81055</t>
  </si>
  <si>
    <t>Customer 3862</t>
  </si>
  <si>
    <t>PRD-488362</t>
  </si>
  <si>
    <t>Phones Product 140</t>
  </si>
  <si>
    <t>NY-2018-882345</t>
  </si>
  <si>
    <t>CUST-66415</t>
  </si>
  <si>
    <t>Customer 1656</t>
  </si>
  <si>
    <t>PRD-670571</t>
  </si>
  <si>
    <t>Labels Product 290</t>
  </si>
  <si>
    <t>TX-2016-612058</t>
  </si>
  <si>
    <t>CUST-51716</t>
  </si>
  <si>
    <t>Customer 1818</t>
  </si>
  <si>
    <t>PRD-449753</t>
  </si>
  <si>
    <t>Bookcases Product 170</t>
  </si>
  <si>
    <t>CA-2019-982063</t>
  </si>
  <si>
    <t>CUST-63973</t>
  </si>
  <si>
    <t>Customer 698</t>
  </si>
  <si>
    <t>PRD-858280</t>
  </si>
  <si>
    <t>Binders Product 84</t>
  </si>
  <si>
    <t>CA-2018-896863</t>
  </si>
  <si>
    <t>CUST-29732</t>
  </si>
  <si>
    <t>PRD-721577</t>
  </si>
  <si>
    <t>NY-2019-932710</t>
  </si>
  <si>
    <t>CUST-13318</t>
  </si>
  <si>
    <t>PRD-485785</t>
  </si>
  <si>
    <t>Machines Product 55</t>
  </si>
  <si>
    <t>NY-2018-692246</t>
  </si>
  <si>
    <t>CUST-54895</t>
  </si>
  <si>
    <t>Customer 2256</t>
  </si>
  <si>
    <t>PRD-636412</t>
  </si>
  <si>
    <t>Storage Product 116</t>
  </si>
  <si>
    <t>CA-2018-717286</t>
  </si>
  <si>
    <t>CUST-56346</t>
  </si>
  <si>
    <t>Customer 4807</t>
  </si>
  <si>
    <t>PRD-540037</t>
  </si>
  <si>
    <t>Bookcases Product 68</t>
  </si>
  <si>
    <t>NY-2017-555490</t>
  </si>
  <si>
    <t>CUST-89085</t>
  </si>
  <si>
    <t>Customer 3332</t>
  </si>
  <si>
    <t>PRD-502118</t>
  </si>
  <si>
    <t>Appliances Product 166</t>
  </si>
  <si>
    <t>US-2016-283834</t>
  </si>
  <si>
    <t>CUST-97604</t>
  </si>
  <si>
    <t>Customer 2296</t>
  </si>
  <si>
    <t>PRD-921450</t>
  </si>
  <si>
    <t>Furnishings Product 292</t>
  </si>
  <si>
    <t>TX-2019-973926</t>
  </si>
  <si>
    <t>CUST-26095</t>
  </si>
  <si>
    <t>Customer 3734</t>
  </si>
  <si>
    <t>PRD-908064</t>
  </si>
  <si>
    <t>Machines Product 87</t>
  </si>
  <si>
    <t>NY-2017-315101</t>
  </si>
  <si>
    <t>CUST-85051</t>
  </si>
  <si>
    <t>Customer 4311</t>
  </si>
  <si>
    <t>PRD-498095</t>
  </si>
  <si>
    <t>Machines Product 267</t>
  </si>
  <si>
    <t>TX-2018-822770</t>
  </si>
  <si>
    <t>CUST-76769</t>
  </si>
  <si>
    <t>Customer 2553</t>
  </si>
  <si>
    <t>PRD-786123</t>
  </si>
  <si>
    <t>US-2019-162789</t>
  </si>
  <si>
    <t>CUST-17108</t>
  </si>
  <si>
    <t>Customer 4580</t>
  </si>
  <si>
    <t>PRD-955224</t>
  </si>
  <si>
    <t>CA-2016-226569</t>
  </si>
  <si>
    <t>CUST-90164</t>
  </si>
  <si>
    <t>PRD-624328</t>
  </si>
  <si>
    <t>TX-2016-491788</t>
  </si>
  <si>
    <t>CUST-70322</t>
  </si>
  <si>
    <t>Customer 1417</t>
  </si>
  <si>
    <t>PRD-788786</t>
  </si>
  <si>
    <t>US-2018-240323</t>
  </si>
  <si>
    <t>CUST-41324</t>
  </si>
  <si>
    <t>Customer 501</t>
  </si>
  <si>
    <t>PRD-637281</t>
  </si>
  <si>
    <t>Paper Product 278</t>
  </si>
  <si>
    <t>CA-2019-397774</t>
  </si>
  <si>
    <t>CUST-87054</t>
  </si>
  <si>
    <t>Customer 864</t>
  </si>
  <si>
    <t>PRD-123536</t>
  </si>
  <si>
    <t>Furnishings Product 69</t>
  </si>
  <si>
    <t>CA-2017-445126</t>
  </si>
  <si>
    <t>CUST-93597</t>
  </si>
  <si>
    <t>Customer 4912</t>
  </si>
  <si>
    <t>PRD-689771</t>
  </si>
  <si>
    <t>TX-2017-652259</t>
  </si>
  <si>
    <t>CUST-35557</t>
  </si>
  <si>
    <t>Customer 761</t>
  </si>
  <si>
    <t>PRD-336261</t>
  </si>
  <si>
    <t>Phones Product 36</t>
  </si>
  <si>
    <t>US-2018-618753</t>
  </si>
  <si>
    <t>CUST-94952</t>
  </si>
  <si>
    <t>Customer 1537</t>
  </si>
  <si>
    <t>PRD-481091</t>
  </si>
  <si>
    <t>Copiers Product 4</t>
  </si>
  <si>
    <t>US-2016-985761</t>
  </si>
  <si>
    <t>CUST-96889</t>
  </si>
  <si>
    <t>Customer 1152</t>
  </si>
  <si>
    <t>PRD-930090</t>
  </si>
  <si>
    <t>Furnishings Product 108</t>
  </si>
  <si>
    <t>TX-2018-502670</t>
  </si>
  <si>
    <t>CUST-25011</t>
  </si>
  <si>
    <t>Customer 7</t>
  </si>
  <si>
    <t>PRD-329855</t>
  </si>
  <si>
    <t>Labels Product 40</t>
  </si>
  <si>
    <t>NY-2017-768354</t>
  </si>
  <si>
    <t>CUST-16401</t>
  </si>
  <si>
    <t>Customer 1617</t>
  </si>
  <si>
    <t>PRD-467177</t>
  </si>
  <si>
    <t>Bookcases Product 219</t>
  </si>
  <si>
    <t>US-2019-861754</t>
  </si>
  <si>
    <t>CUST-93565</t>
  </si>
  <si>
    <t>Customer 4309</t>
  </si>
  <si>
    <t>PRD-769936</t>
  </si>
  <si>
    <t>Machines Product 21</t>
  </si>
  <si>
    <t>NY-2018-644394</t>
  </si>
  <si>
    <t>CUST-59020</t>
  </si>
  <si>
    <t>Customer 1691</t>
  </si>
  <si>
    <t>PRD-587359</t>
  </si>
  <si>
    <t>US-2018-159548</t>
  </si>
  <si>
    <t>CUST-33429</t>
  </si>
  <si>
    <t>Customer 4216</t>
  </si>
  <si>
    <t>PRD-100459</t>
  </si>
  <si>
    <t>Furnishings Product 229</t>
  </si>
  <si>
    <t>TX-2016-136816</t>
  </si>
  <si>
    <t>CUST-10581</t>
  </si>
  <si>
    <t>Customer 2338</t>
  </si>
  <si>
    <t>PRD-323029</t>
  </si>
  <si>
    <t>US-2016-517681</t>
  </si>
  <si>
    <t>CUST-87593</t>
  </si>
  <si>
    <t>PRD-615395</t>
  </si>
  <si>
    <t>Bookcases Product 237</t>
  </si>
  <si>
    <t>TX-2018-155858</t>
  </si>
  <si>
    <t>CUST-62609</t>
  </si>
  <si>
    <t>Customer 4631</t>
  </si>
  <si>
    <t>PRD-993398</t>
  </si>
  <si>
    <t>Tables Product 61</t>
  </si>
  <si>
    <t>US-2018-179468</t>
  </si>
  <si>
    <t>CUST-98022</t>
  </si>
  <si>
    <t>Customer 2371</t>
  </si>
  <si>
    <t>PRD-446335</t>
  </si>
  <si>
    <t>Copiers Product 158</t>
  </si>
  <si>
    <t>US-2018-298477</t>
  </si>
  <si>
    <t>CUST-92365</t>
  </si>
  <si>
    <t>Customer 4726</t>
  </si>
  <si>
    <t>PRD-193381</t>
  </si>
  <si>
    <t>Paper Product 96</t>
  </si>
  <si>
    <t>CA-2019-626598</t>
  </si>
  <si>
    <t>CUST-99444</t>
  </si>
  <si>
    <t>Customer 3876</t>
  </si>
  <si>
    <t>PRD-915236</t>
  </si>
  <si>
    <t>Paper Product 279</t>
  </si>
  <si>
    <t>NY-2017-543102</t>
  </si>
  <si>
    <t>CUST-15506</t>
  </si>
  <si>
    <t>Customer 3387</t>
  </si>
  <si>
    <t>PRD-305292</t>
  </si>
  <si>
    <t>US-2016-990156</t>
  </si>
  <si>
    <t>CUST-30922</t>
  </si>
  <si>
    <t>Customer 3650</t>
  </si>
  <si>
    <t>PRD-129978</t>
  </si>
  <si>
    <t>Accessories Product 22</t>
  </si>
  <si>
    <t>TX-2019-585023</t>
  </si>
  <si>
    <t>CUST-98104</t>
  </si>
  <si>
    <t>Customer 3932</t>
  </si>
  <si>
    <t>PRD-577285</t>
  </si>
  <si>
    <t>Binders Product 266</t>
  </si>
  <si>
    <t>CA-2019-581666</t>
  </si>
  <si>
    <t>CUST-98566</t>
  </si>
  <si>
    <t>Customer 2473</t>
  </si>
  <si>
    <t>PRD-472805</t>
  </si>
  <si>
    <t>Furnishings Product 101</t>
  </si>
  <si>
    <t>CA-2017-181854</t>
  </si>
  <si>
    <t>CUST-58300</t>
  </si>
  <si>
    <t>Customer 1398</t>
  </si>
  <si>
    <t>PRD-589136</t>
  </si>
  <si>
    <t>Bookcases Product 228</t>
  </si>
  <si>
    <t>CA-2017-529049</t>
  </si>
  <si>
    <t>CUST-81617</t>
  </si>
  <si>
    <t>Customer 1343</t>
  </si>
  <si>
    <t>PRD-508898</t>
  </si>
  <si>
    <t>Storage Product 234</t>
  </si>
  <si>
    <t>CA-2018-687915</t>
  </si>
  <si>
    <t>CUST-33807</t>
  </si>
  <si>
    <t>Customer 1464</t>
  </si>
  <si>
    <t>PRD-131094</t>
  </si>
  <si>
    <t>Art Product 67</t>
  </si>
  <si>
    <t>US-2018-511486</t>
  </si>
  <si>
    <t>CUST-92759</t>
  </si>
  <si>
    <t>PRD-999657</t>
  </si>
  <si>
    <t>Chairs Product 150</t>
  </si>
  <si>
    <t>TX-2019-838741</t>
  </si>
  <si>
    <t>CUST-30534</t>
  </si>
  <si>
    <t>Customer 3639</t>
  </si>
  <si>
    <t>PRD-102270</t>
  </si>
  <si>
    <t>Copiers Product 127</t>
  </si>
  <si>
    <t>NY-2019-942190</t>
  </si>
  <si>
    <t>CUST-20815</t>
  </si>
  <si>
    <t>Customer 1135</t>
  </si>
  <si>
    <t>PRD-153617</t>
  </si>
  <si>
    <t>Copiers Product 185</t>
  </si>
  <si>
    <t>CA-2019-278792</t>
  </si>
  <si>
    <t>CUST-13589</t>
  </si>
  <si>
    <t>Customer 3741</t>
  </si>
  <si>
    <t>PRD-801464</t>
  </si>
  <si>
    <t>Furnishings Product 31</t>
  </si>
  <si>
    <t>CA-2016-222121</t>
  </si>
  <si>
    <t>CUST-69446</t>
  </si>
  <si>
    <t>Customer 2237</t>
  </si>
  <si>
    <t>PRD-924856</t>
  </si>
  <si>
    <t>TX-2018-732587</t>
  </si>
  <si>
    <t>CUST-28430</t>
  </si>
  <si>
    <t>Customer 4502</t>
  </si>
  <si>
    <t>PRD-764296</t>
  </si>
  <si>
    <t>Chairs Product 276</t>
  </si>
  <si>
    <t>CA-2017-426364</t>
  </si>
  <si>
    <t>CUST-22958</t>
  </si>
  <si>
    <t>Customer 2180</t>
  </si>
  <si>
    <t>PRD-311465</t>
  </si>
  <si>
    <t>Copiers Product 224</t>
  </si>
  <si>
    <t>US-2018-852546</t>
  </si>
  <si>
    <t>CUST-61274</t>
  </si>
  <si>
    <t>Customer 2087</t>
  </si>
  <si>
    <t>PRD-478046</t>
  </si>
  <si>
    <t>Copiers Product 10</t>
  </si>
  <si>
    <t>CA-2017-564244</t>
  </si>
  <si>
    <t>CUST-70549</t>
  </si>
  <si>
    <t>Customer 2199</t>
  </si>
  <si>
    <t>PRD-974993</t>
  </si>
  <si>
    <t>Tables Product 33</t>
  </si>
  <si>
    <t>NY-2016-233721</t>
  </si>
  <si>
    <t>CUST-53642</t>
  </si>
  <si>
    <t>Customer 3661</t>
  </si>
  <si>
    <t>PRD-315052</t>
  </si>
  <si>
    <t>Furnishings Product 243</t>
  </si>
  <si>
    <t>TX-2017-134560</t>
  </si>
  <si>
    <t>CUST-33633</t>
  </si>
  <si>
    <t>Customer 1130</t>
  </si>
  <si>
    <t>PRD-755718</t>
  </si>
  <si>
    <t>Phones Product 188</t>
  </si>
  <si>
    <t>TX-2017-933738</t>
  </si>
  <si>
    <t>CUST-34747</t>
  </si>
  <si>
    <t>Customer 4202</t>
  </si>
  <si>
    <t>PRD-602118</t>
  </si>
  <si>
    <t>NY-2019-789552</t>
  </si>
  <si>
    <t>CUST-98169</t>
  </si>
  <si>
    <t>Customer 58</t>
  </si>
  <si>
    <t>PRD-531288</t>
  </si>
  <si>
    <t>Accessories Product 156</t>
  </si>
  <si>
    <t>CA-2016-265582</t>
  </si>
  <si>
    <t>CUST-41485</t>
  </si>
  <si>
    <t>PRD-198991</t>
  </si>
  <si>
    <t>Art Product 133</t>
  </si>
  <si>
    <t>TX-2016-144830</t>
  </si>
  <si>
    <t>CUST-13276</t>
  </si>
  <si>
    <t>Customer 3752</t>
  </si>
  <si>
    <t>PRD-256481</t>
  </si>
  <si>
    <t>Tables Product 260</t>
  </si>
  <si>
    <t>CA-2017-477113</t>
  </si>
  <si>
    <t>CUST-44741</t>
  </si>
  <si>
    <t>Customer 1315</t>
  </si>
  <si>
    <t>PRD-127395</t>
  </si>
  <si>
    <t>Storage Product 260</t>
  </si>
  <si>
    <t>CA-2019-641280</t>
  </si>
  <si>
    <t>CUST-81641</t>
  </si>
  <si>
    <t>Customer 115</t>
  </si>
  <si>
    <t>PRD-668233</t>
  </si>
  <si>
    <t>Labels Product 139</t>
  </si>
  <si>
    <t>US-2018-621313</t>
  </si>
  <si>
    <t>CUST-95733</t>
  </si>
  <si>
    <t>PRD-247307</t>
  </si>
  <si>
    <t>CA-2016-478946</t>
  </si>
  <si>
    <t>CUST-82196</t>
  </si>
  <si>
    <t>PRD-764611</t>
  </si>
  <si>
    <t>Appliances Product 136</t>
  </si>
  <si>
    <t>US-2018-903788</t>
  </si>
  <si>
    <t>CUST-55784</t>
  </si>
  <si>
    <t>Customer 1086</t>
  </si>
  <si>
    <t>PRD-341439</t>
  </si>
  <si>
    <t>Copiers Product 80</t>
  </si>
  <si>
    <t>TX-2017-768266</t>
  </si>
  <si>
    <t>CUST-41634</t>
  </si>
  <si>
    <t>PRD-153182</t>
  </si>
  <si>
    <t>Labels Product 29</t>
  </si>
  <si>
    <t>US-2019-843679</t>
  </si>
  <si>
    <t>CUST-28083</t>
  </si>
  <si>
    <t>Customer 4358</t>
  </si>
  <si>
    <t>PRD-489537</t>
  </si>
  <si>
    <t>Phones Product 160</t>
  </si>
  <si>
    <t>CA-2018-259940</t>
  </si>
  <si>
    <t>CUST-20772</t>
  </si>
  <si>
    <t>Customer 1090</t>
  </si>
  <si>
    <t>PRD-859670</t>
  </si>
  <si>
    <t>Accessories Product 221</t>
  </si>
  <si>
    <t>US-2017-524677</t>
  </si>
  <si>
    <t>CUST-54186</t>
  </si>
  <si>
    <t>Customer 539</t>
  </si>
  <si>
    <t>PRD-222383</t>
  </si>
  <si>
    <t>CA-2017-405305</t>
  </si>
  <si>
    <t>CUST-92726</t>
  </si>
  <si>
    <t>PRD-549304</t>
  </si>
  <si>
    <t>Labels Product 90</t>
  </si>
  <si>
    <t>CA-2017-180736</t>
  </si>
  <si>
    <t>CUST-14673</t>
  </si>
  <si>
    <t>Customer 2546</t>
  </si>
  <si>
    <t>PRD-813559</t>
  </si>
  <si>
    <t>Copiers Product 78</t>
  </si>
  <si>
    <t>NY-2019-139820</t>
  </si>
  <si>
    <t>CUST-51830</t>
  </si>
  <si>
    <t>Customer 4288</t>
  </si>
  <si>
    <t>PRD-101588</t>
  </si>
  <si>
    <t>Copiers Product 201</t>
  </si>
  <si>
    <t>NY-2019-837184</t>
  </si>
  <si>
    <t>CUST-60021</t>
  </si>
  <si>
    <t>Customer 2731</t>
  </si>
  <si>
    <t>PRD-727749</t>
  </si>
  <si>
    <t>Bookcases Product 46</t>
  </si>
  <si>
    <t>CA-2019-675339</t>
  </si>
  <si>
    <t>CUST-81285</t>
  </si>
  <si>
    <t>Customer 3855</t>
  </si>
  <si>
    <t>PRD-979878</t>
  </si>
  <si>
    <t>NY-2018-742865</t>
  </si>
  <si>
    <t>CUST-70152</t>
  </si>
  <si>
    <t>Customer 794</t>
  </si>
  <si>
    <t>PRD-555908</t>
  </si>
  <si>
    <t>Chairs Product 79</t>
  </si>
  <si>
    <t>NY-2019-476463</t>
  </si>
  <si>
    <t>CUST-37022</t>
  </si>
  <si>
    <t>Customer 4499</t>
  </si>
  <si>
    <t>PRD-315421</t>
  </si>
  <si>
    <t>Art Product 144</t>
  </si>
  <si>
    <t>TX-2016-264335</t>
  </si>
  <si>
    <t>CUST-64646</t>
  </si>
  <si>
    <t>Customer 228</t>
  </si>
  <si>
    <t>PRD-578616</t>
  </si>
  <si>
    <t>Chairs Product 57</t>
  </si>
  <si>
    <t>US-2018-207176</t>
  </si>
  <si>
    <t>CUST-92027</t>
  </si>
  <si>
    <t>Customer 881</t>
  </si>
  <si>
    <t>PRD-863027</t>
  </si>
  <si>
    <t>Art Product 1</t>
  </si>
  <si>
    <t>US-2017-604586</t>
  </si>
  <si>
    <t>CUST-65107</t>
  </si>
  <si>
    <t>Customer 2500</t>
  </si>
  <si>
    <t>PRD-516041</t>
  </si>
  <si>
    <t>NY-2018-528331</t>
  </si>
  <si>
    <t>CUST-28514</t>
  </si>
  <si>
    <t>Customer 3480</t>
  </si>
  <si>
    <t>PRD-524163</t>
  </si>
  <si>
    <t>Art Product 235</t>
  </si>
  <si>
    <t>TX-2018-988808</t>
  </si>
  <si>
    <t>CUST-76811</t>
  </si>
  <si>
    <t>Customer 3616</t>
  </si>
  <si>
    <t>PRD-849290</t>
  </si>
  <si>
    <t>Furnishings Product 58</t>
  </si>
  <si>
    <t>TX-2016-217831</t>
  </si>
  <si>
    <t>CUST-10311</t>
  </si>
  <si>
    <t>Customer 1594</t>
  </si>
  <si>
    <t>PRD-356631</t>
  </si>
  <si>
    <t>Chairs Product 62</t>
  </si>
  <si>
    <t>CA-2018-670414</t>
  </si>
  <si>
    <t>CUST-50829</t>
  </si>
  <si>
    <t>PRD-677274</t>
  </si>
  <si>
    <t>Phones Product 91</t>
  </si>
  <si>
    <t>TX-2017-902862</t>
  </si>
  <si>
    <t>CUST-64965</t>
  </si>
  <si>
    <t>Customer 2070</t>
  </si>
  <si>
    <t>PRD-625545</t>
  </si>
  <si>
    <t>Copiers Product 165</t>
  </si>
  <si>
    <t>CA-2019-932386</t>
  </si>
  <si>
    <t>CUST-35411</t>
  </si>
  <si>
    <t>Customer 545</t>
  </si>
  <si>
    <t>PRD-349191</t>
  </si>
  <si>
    <t>Accessories Product 97</t>
  </si>
  <si>
    <t>US-2018-432153</t>
  </si>
  <si>
    <t>CUST-14091</t>
  </si>
  <si>
    <t>Customer 1932</t>
  </si>
  <si>
    <t>PRD-215256</t>
  </si>
  <si>
    <t>Tables Product 265</t>
  </si>
  <si>
    <t>CA-2018-834339</t>
  </si>
  <si>
    <t>CUST-38147</t>
  </si>
  <si>
    <t>Customer 1255</t>
  </si>
  <si>
    <t>PRD-526773</t>
  </si>
  <si>
    <t>Bookcases Product 190</t>
  </si>
  <si>
    <t>TX-2016-804769</t>
  </si>
  <si>
    <t>CUST-28084</t>
  </si>
  <si>
    <t>Customer 293</t>
  </si>
  <si>
    <t>PRD-650961</t>
  </si>
  <si>
    <t>NY-2017-289137</t>
  </si>
  <si>
    <t>CUST-81601</t>
  </si>
  <si>
    <t>Customer 3815</t>
  </si>
  <si>
    <t>PRD-980688</t>
  </si>
  <si>
    <t>Phones Product 8</t>
  </si>
  <si>
    <t>TX-2018-326051</t>
  </si>
  <si>
    <t>CUST-87818</t>
  </si>
  <si>
    <t>PRD-873168</t>
  </si>
  <si>
    <t>Chairs Product 269</t>
  </si>
  <si>
    <t>US-2016-490777</t>
  </si>
  <si>
    <t>CUST-55645</t>
  </si>
  <si>
    <t>Customer 1246</t>
  </si>
  <si>
    <t>PRD-271534</t>
  </si>
  <si>
    <t>NY-2017-882031</t>
  </si>
  <si>
    <t>CUST-17925</t>
  </si>
  <si>
    <t>Customer 657</t>
  </si>
  <si>
    <t>PRD-657569</t>
  </si>
  <si>
    <t>Bookcases Product 232</t>
  </si>
  <si>
    <t>TX-2018-729442</t>
  </si>
  <si>
    <t>CUST-51551</t>
  </si>
  <si>
    <t>Customer 427</t>
  </si>
  <si>
    <t>PRD-339482</t>
  </si>
  <si>
    <t>US-2016-293742</t>
  </si>
  <si>
    <t>CUST-50399</t>
  </si>
  <si>
    <t>Customer 4389</t>
  </si>
  <si>
    <t>PRD-880214</t>
  </si>
  <si>
    <t>Bookcases Product 39</t>
  </si>
  <si>
    <t>CA-2019-619690</t>
  </si>
  <si>
    <t>CUST-43009</t>
  </si>
  <si>
    <t>Customer 732</t>
  </si>
  <si>
    <t>PRD-551666</t>
  </si>
  <si>
    <t>US-2018-619006</t>
  </si>
  <si>
    <t>CUST-34554</t>
  </si>
  <si>
    <t>Customer 338</t>
  </si>
  <si>
    <t>PRD-574367</t>
  </si>
  <si>
    <t>NY-2019-676958</t>
  </si>
  <si>
    <t>CUST-18226</t>
  </si>
  <si>
    <t>Customer 2089</t>
  </si>
  <si>
    <t>PRD-814442</t>
  </si>
  <si>
    <t>Appliances Product 159</t>
  </si>
  <si>
    <t>US-2018-796979</t>
  </si>
  <si>
    <t>CUST-64834</t>
  </si>
  <si>
    <t>Customer 3069</t>
  </si>
  <si>
    <t>PRD-933416</t>
  </si>
  <si>
    <t>Binders Product 76</t>
  </si>
  <si>
    <t>CA-2016-164362</t>
  </si>
  <si>
    <t>CUST-24236</t>
  </si>
  <si>
    <t>Customer 736</t>
  </si>
  <si>
    <t>PRD-461302</t>
  </si>
  <si>
    <t>Tables Product 240</t>
  </si>
  <si>
    <t>NY-2017-442702</t>
  </si>
  <si>
    <t>CUST-27968</t>
  </si>
  <si>
    <t>PRD-735325</t>
  </si>
  <si>
    <t>Accessories Product 1</t>
  </si>
  <si>
    <t>US-2016-968948</t>
  </si>
  <si>
    <t>CUST-71807</t>
  </si>
  <si>
    <t>Customer 98</t>
  </si>
  <si>
    <t>PRD-872904</t>
  </si>
  <si>
    <t>Storage Product 165</t>
  </si>
  <si>
    <t>CA-2018-725031</t>
  </si>
  <si>
    <t>CUST-68188</t>
  </si>
  <si>
    <t>Customer 3522</t>
  </si>
  <si>
    <t>PRD-963628</t>
  </si>
  <si>
    <t>Tables Product 46</t>
  </si>
  <si>
    <t>NY-2017-346730</t>
  </si>
  <si>
    <t>CUST-53638</t>
  </si>
  <si>
    <t>Customer 1892</t>
  </si>
  <si>
    <t>PRD-295936</t>
  </si>
  <si>
    <t>Chairs Product 166</t>
  </si>
  <si>
    <t>NY-2019-382287</t>
  </si>
  <si>
    <t>CUST-89280</t>
  </si>
  <si>
    <t>Customer 2489</t>
  </si>
  <si>
    <t>PRD-489760</t>
  </si>
  <si>
    <t>TX-2017-700203</t>
  </si>
  <si>
    <t>CUST-32595</t>
  </si>
  <si>
    <t>Customer 3186</t>
  </si>
  <si>
    <t>PRD-374764</t>
  </si>
  <si>
    <t>Phones Product 124</t>
  </si>
  <si>
    <t>TX-2017-979814</t>
  </si>
  <si>
    <t>CUST-37314</t>
  </si>
  <si>
    <t>Customer 2676</t>
  </si>
  <si>
    <t>PRD-866200</t>
  </si>
  <si>
    <t>Copiers Product 18</t>
  </si>
  <si>
    <t>NY-2016-371115</t>
  </si>
  <si>
    <t>CUST-84683</t>
  </si>
  <si>
    <t>Customer 2683</t>
  </si>
  <si>
    <t>PRD-373876</t>
  </si>
  <si>
    <t>NY-2017-745799</t>
  </si>
  <si>
    <t>CUST-97576</t>
  </si>
  <si>
    <t>Customer 952</t>
  </si>
  <si>
    <t>PRD-355464</t>
  </si>
  <si>
    <t>Binders Product 282</t>
  </si>
  <si>
    <t>CA-2018-154419</t>
  </si>
  <si>
    <t>CUST-42179</t>
  </si>
  <si>
    <t>Customer 4160</t>
  </si>
  <si>
    <t>PRD-821804</t>
  </si>
  <si>
    <t>Tables Product 77</t>
  </si>
  <si>
    <t>US-2017-642717</t>
  </si>
  <si>
    <t>CUST-41368</t>
  </si>
  <si>
    <t>Customer 397</t>
  </si>
  <si>
    <t>PRD-790097</t>
  </si>
  <si>
    <t>Art Product 124</t>
  </si>
  <si>
    <t>CA-2019-158950</t>
  </si>
  <si>
    <t>CUST-47919</t>
  </si>
  <si>
    <t>Customer 1492</t>
  </si>
  <si>
    <t>PRD-763211</t>
  </si>
  <si>
    <t>Copiers Product 163</t>
  </si>
  <si>
    <t>CA-2019-100243</t>
  </si>
  <si>
    <t>CUST-91462</t>
  </si>
  <si>
    <t>Customer 4606</t>
  </si>
  <si>
    <t>PRD-186756</t>
  </si>
  <si>
    <t>CA-2019-784347</t>
  </si>
  <si>
    <t>CUST-48263</t>
  </si>
  <si>
    <t>Customer 2607</t>
  </si>
  <si>
    <t>PRD-766307</t>
  </si>
  <si>
    <t>Bookcases Product 86</t>
  </si>
  <si>
    <t>US-2018-801019</t>
  </si>
  <si>
    <t>CUST-59738</t>
  </si>
  <si>
    <t>Customer 4788</t>
  </si>
  <si>
    <t>PRD-764563</t>
  </si>
  <si>
    <t>Accessories Product 288</t>
  </si>
  <si>
    <t>CA-2019-779238</t>
  </si>
  <si>
    <t>CUST-90306</t>
  </si>
  <si>
    <t>PRD-263213</t>
  </si>
  <si>
    <t>Art Product 228</t>
  </si>
  <si>
    <t>TX-2019-535720</t>
  </si>
  <si>
    <t>CUST-55345</t>
  </si>
  <si>
    <t>Customer 404</t>
  </si>
  <si>
    <t>PRD-682483</t>
  </si>
  <si>
    <t>Labels Product 245</t>
  </si>
  <si>
    <t>CA-2016-113536</t>
  </si>
  <si>
    <t>CUST-11022</t>
  </si>
  <si>
    <t>Customer 1715</t>
  </si>
  <si>
    <t>PRD-581269</t>
  </si>
  <si>
    <t>Chairs Product 101</t>
  </si>
  <si>
    <t>TX-2016-642796</t>
  </si>
  <si>
    <t>CUST-25247</t>
  </si>
  <si>
    <t>Customer 3494</t>
  </si>
  <si>
    <t>PRD-827660</t>
  </si>
  <si>
    <t>Tables Product 286</t>
  </si>
  <si>
    <t>TX-2019-779272</t>
  </si>
  <si>
    <t>CUST-32675</t>
  </si>
  <si>
    <t>Customer 3409</t>
  </si>
  <si>
    <t>PRD-880188</t>
  </si>
  <si>
    <t>NY-2016-953391</t>
  </si>
  <si>
    <t>CUST-71403</t>
  </si>
  <si>
    <t>Customer 1022</t>
  </si>
  <si>
    <t>PRD-479138</t>
  </si>
  <si>
    <t>Appliances Product 86</t>
  </si>
  <si>
    <t>CA-2018-846915</t>
  </si>
  <si>
    <t>CUST-13305</t>
  </si>
  <si>
    <t>Customer 3701</t>
  </si>
  <si>
    <t>PRD-363865</t>
  </si>
  <si>
    <t>Paper Product 126</t>
  </si>
  <si>
    <t>TX-2018-655315</t>
  </si>
  <si>
    <t>CUST-53495</t>
  </si>
  <si>
    <t>Customer 2711</t>
  </si>
  <si>
    <t>PRD-833611</t>
  </si>
  <si>
    <t>TX-2016-334003</t>
  </si>
  <si>
    <t>CUST-22227</t>
  </si>
  <si>
    <t>Customer 2900</t>
  </si>
  <si>
    <t>PRD-777421</t>
  </si>
  <si>
    <t>Paper Product 81</t>
  </si>
  <si>
    <t>NY-2017-685955</t>
  </si>
  <si>
    <t>CUST-32494</t>
  </si>
  <si>
    <t>Customer 2492</t>
  </si>
  <si>
    <t>PRD-619542</t>
  </si>
  <si>
    <t>Appliances Product 233</t>
  </si>
  <si>
    <t>US-2019-258999</t>
  </si>
  <si>
    <t>CUST-43715</t>
  </si>
  <si>
    <t>Customer 1073</t>
  </si>
  <si>
    <t>PRD-427614</t>
  </si>
  <si>
    <t>NY-2018-189389</t>
  </si>
  <si>
    <t>CUST-61384</t>
  </si>
  <si>
    <t>Customer 4760</t>
  </si>
  <si>
    <t>PRD-162504</t>
  </si>
  <si>
    <t>Chairs Product 183</t>
  </si>
  <si>
    <t>TX-2019-705965</t>
  </si>
  <si>
    <t>CUST-58655</t>
  </si>
  <si>
    <t>Customer 2915</t>
  </si>
  <si>
    <t>PRD-900852</t>
  </si>
  <si>
    <t>Copiers Product 291</t>
  </si>
  <si>
    <t>CA-2018-861168</t>
  </si>
  <si>
    <t>CUST-20170</t>
  </si>
  <si>
    <t>PRD-468941</t>
  </si>
  <si>
    <t>Copiers Product 204</t>
  </si>
  <si>
    <t>NY-2018-494064</t>
  </si>
  <si>
    <t>CUST-23207</t>
  </si>
  <si>
    <t>Customer 1889</t>
  </si>
  <si>
    <t>PRD-642914</t>
  </si>
  <si>
    <t>Copiers Product 161</t>
  </si>
  <si>
    <t>US-2017-164257</t>
  </si>
  <si>
    <t>CUST-91827</t>
  </si>
  <si>
    <t>PRD-299262</t>
  </si>
  <si>
    <t>Bookcases Product 272</t>
  </si>
  <si>
    <t>NY-2016-373391</t>
  </si>
  <si>
    <t>CUST-49005</t>
  </si>
  <si>
    <t>Customer 666</t>
  </si>
  <si>
    <t>PRD-613304</t>
  </si>
  <si>
    <t>Appliances Product 197</t>
  </si>
  <si>
    <t>CA-2019-420105</t>
  </si>
  <si>
    <t>CUST-84895</t>
  </si>
  <si>
    <t>PRD-806043</t>
  </si>
  <si>
    <t>Phones Product 156</t>
  </si>
  <si>
    <t>TX-2017-236363</t>
  </si>
  <si>
    <t>CUST-59424</t>
  </si>
  <si>
    <t>Customer 2723</t>
  </si>
  <si>
    <t>PRD-313259</t>
  </si>
  <si>
    <t>Tables Product 192</t>
  </si>
  <si>
    <t>TX-2019-153537</t>
  </si>
  <si>
    <t>CUST-46092</t>
  </si>
  <si>
    <t>Customer 3784</t>
  </si>
  <si>
    <t>PRD-983525</t>
  </si>
  <si>
    <t>US-2019-303878</t>
  </si>
  <si>
    <t>CUST-89618</t>
  </si>
  <si>
    <t>PRD-200794</t>
  </si>
  <si>
    <t>Labels Product 203</t>
  </si>
  <si>
    <t>TX-2016-455661</t>
  </si>
  <si>
    <t>CUST-85506</t>
  </si>
  <si>
    <t>Customer 2127</t>
  </si>
  <si>
    <t>PRD-109810</t>
  </si>
  <si>
    <t>Chairs Product 172</t>
  </si>
  <si>
    <t>US-2017-735220</t>
  </si>
  <si>
    <t>CUST-71945</t>
  </si>
  <si>
    <t>Customer 2370</t>
  </si>
  <si>
    <t>PRD-126974</t>
  </si>
  <si>
    <t>Chairs Product 50</t>
  </si>
  <si>
    <t>NY-2018-998530</t>
  </si>
  <si>
    <t>CUST-94182</t>
  </si>
  <si>
    <t>PRD-356395</t>
  </si>
  <si>
    <t>Machines Product 187</t>
  </si>
  <si>
    <t>NY-2017-537112</t>
  </si>
  <si>
    <t>CUST-77859</t>
  </si>
  <si>
    <t>Customer 1454</t>
  </si>
  <si>
    <t>PRD-614695</t>
  </si>
  <si>
    <t>Accessories Product 167</t>
  </si>
  <si>
    <t>NY-2016-998903</t>
  </si>
  <si>
    <t>CUST-75348</t>
  </si>
  <si>
    <t>Customer 2985</t>
  </si>
  <si>
    <t>PRD-803656</t>
  </si>
  <si>
    <t>CA-2017-758461</t>
  </si>
  <si>
    <t>CUST-16466</t>
  </si>
  <si>
    <t>Customer 1662</t>
  </si>
  <si>
    <t>PRD-359431</t>
  </si>
  <si>
    <t>CA-2016-789498</t>
  </si>
  <si>
    <t>CUST-40836</t>
  </si>
  <si>
    <t>Customer 933</t>
  </si>
  <si>
    <t>PRD-697180</t>
  </si>
  <si>
    <t>Paper Product 136</t>
  </si>
  <si>
    <t>NY-2018-680911</t>
  </si>
  <si>
    <t>CUST-80857</t>
  </si>
  <si>
    <t>PRD-308939</t>
  </si>
  <si>
    <t>Art Product 277</t>
  </si>
  <si>
    <t>TX-2017-953157</t>
  </si>
  <si>
    <t>CUST-55471</t>
  </si>
  <si>
    <t>Customer 1759</t>
  </si>
  <si>
    <t>PRD-206585</t>
  </si>
  <si>
    <t>US-2018-555776</t>
  </si>
  <si>
    <t>CUST-95514</t>
  </si>
  <si>
    <t>Customer 4289</t>
  </si>
  <si>
    <t>PRD-548233</t>
  </si>
  <si>
    <t>Binders Product 177</t>
  </si>
  <si>
    <t>TX-2016-374827</t>
  </si>
  <si>
    <t>CUST-48679</t>
  </si>
  <si>
    <t>Customer 4417</t>
  </si>
  <si>
    <t>PRD-371598</t>
  </si>
  <si>
    <t>Binders Product 179</t>
  </si>
  <si>
    <t>US-2019-859175</t>
  </si>
  <si>
    <t>CUST-66438</t>
  </si>
  <si>
    <t>Customer 1416</t>
  </si>
  <si>
    <t>PRD-945943</t>
  </si>
  <si>
    <t>Paper Product 237</t>
  </si>
  <si>
    <t>NY-2016-112551</t>
  </si>
  <si>
    <t>CUST-90627</t>
  </si>
  <si>
    <t>Customer 474</t>
  </si>
  <si>
    <t>PRD-327970</t>
  </si>
  <si>
    <t>Labels Product 149</t>
  </si>
  <si>
    <t>TX-2019-711628</t>
  </si>
  <si>
    <t>CUST-39550</t>
  </si>
  <si>
    <t>PRD-214032</t>
  </si>
  <si>
    <t>Accessories Product 163</t>
  </si>
  <si>
    <t>CA-2019-738034</t>
  </si>
  <si>
    <t>CUST-36328</t>
  </si>
  <si>
    <t>Customer 1626</t>
  </si>
  <si>
    <t>PRD-555021</t>
  </si>
  <si>
    <t>Accessories Product 279</t>
  </si>
  <si>
    <t>US-2019-948364</t>
  </si>
  <si>
    <t>CUST-78955</t>
  </si>
  <si>
    <t>Customer 1909</t>
  </si>
  <si>
    <t>PRD-155491</t>
  </si>
  <si>
    <t>Bookcases Product 234</t>
  </si>
  <si>
    <t>NY-2018-800350</t>
  </si>
  <si>
    <t>CUST-60560</t>
  </si>
  <si>
    <t>Customer 1842</t>
  </si>
  <si>
    <t>PRD-124870</t>
  </si>
  <si>
    <t>Paper Product 213</t>
  </si>
  <si>
    <t>US-2017-803259</t>
  </si>
  <si>
    <t>CUST-92464</t>
  </si>
  <si>
    <t>Customer 3948</t>
  </si>
  <si>
    <t>PRD-635772</t>
  </si>
  <si>
    <t>Art Product 64</t>
  </si>
  <si>
    <t>NY-2019-305310</t>
  </si>
  <si>
    <t>CUST-48065</t>
  </si>
  <si>
    <t>PRD-907229</t>
  </si>
  <si>
    <t>Copiers Product 180</t>
  </si>
  <si>
    <t>TX-2018-478736</t>
  </si>
  <si>
    <t>CUST-76863</t>
  </si>
  <si>
    <t>Customer 2390</t>
  </si>
  <si>
    <t>PRD-970168</t>
  </si>
  <si>
    <t>Labels Product 93</t>
  </si>
  <si>
    <t>NY-2019-485609</t>
  </si>
  <si>
    <t>CUST-46703</t>
  </si>
  <si>
    <t>Customer 1006</t>
  </si>
  <si>
    <t>PRD-401772</t>
  </si>
  <si>
    <t>Chairs Product 87</t>
  </si>
  <si>
    <t>CA-2017-203429</t>
  </si>
  <si>
    <t>CUST-84104</t>
  </si>
  <si>
    <t>PRD-127856</t>
  </si>
  <si>
    <t>Tables Product 35</t>
  </si>
  <si>
    <t>NY-2017-216866</t>
  </si>
  <si>
    <t>CUST-61911</t>
  </si>
  <si>
    <t>Customer 3672</t>
  </si>
  <si>
    <t>PRD-448331</t>
  </si>
  <si>
    <t>Chairs Product 159</t>
  </si>
  <si>
    <t>CA-2017-199838</t>
  </si>
  <si>
    <t>CUST-62492</t>
  </si>
  <si>
    <t>Customer 3804</t>
  </si>
  <si>
    <t>PRD-518891</t>
  </si>
  <si>
    <t>TX-2017-699780</t>
  </si>
  <si>
    <t>CUST-58920</t>
  </si>
  <si>
    <t>PRD-978788</t>
  </si>
  <si>
    <t>Appliances Product 58</t>
  </si>
  <si>
    <t>NY-2018-413467</t>
  </si>
  <si>
    <t>CUST-75639</t>
  </si>
  <si>
    <t>Customer 3717</t>
  </si>
  <si>
    <t>PRD-456014</t>
  </si>
  <si>
    <t>Phones Product 163</t>
  </si>
  <si>
    <t>TX-2018-447575</t>
  </si>
  <si>
    <t>CUST-52181</t>
  </si>
  <si>
    <t>Customer 2923</t>
  </si>
  <si>
    <t>PRD-164726</t>
  </si>
  <si>
    <t>Storage Product 196</t>
  </si>
  <si>
    <t>US-2018-613748</t>
  </si>
  <si>
    <t>CUST-83266</t>
  </si>
  <si>
    <t>PRD-841514</t>
  </si>
  <si>
    <t>Tables Product 31</t>
  </si>
  <si>
    <t>US-2018-522563</t>
  </si>
  <si>
    <t>CUST-95895</t>
  </si>
  <si>
    <t>Customer 197</t>
  </si>
  <si>
    <t>PRD-190539</t>
  </si>
  <si>
    <t>Copiers Product 125</t>
  </si>
  <si>
    <t>CA-2019-617598</t>
  </si>
  <si>
    <t>CUST-48235</t>
  </si>
  <si>
    <t>Customer 1293</t>
  </si>
  <si>
    <t>PRD-854818</t>
  </si>
  <si>
    <t>Copiers Product 267</t>
  </si>
  <si>
    <t>CA-2019-399439</t>
  </si>
  <si>
    <t>CUST-82828</t>
  </si>
  <si>
    <t>PRD-183867</t>
  </si>
  <si>
    <t>Machines Product 245</t>
  </si>
  <si>
    <t>NY-2018-540372</t>
  </si>
  <si>
    <t>CUST-80036</t>
  </si>
  <si>
    <t>Customer 335</t>
  </si>
  <si>
    <t>PRD-123431</t>
  </si>
  <si>
    <t>Machines Product 203</t>
  </si>
  <si>
    <t>TX-2016-304659</t>
  </si>
  <si>
    <t>CUST-22722</t>
  </si>
  <si>
    <t>Customer 4860</t>
  </si>
  <si>
    <t>PRD-726088</t>
  </si>
  <si>
    <t>Furnishings Product 148</t>
  </si>
  <si>
    <t>TX-2016-931959</t>
  </si>
  <si>
    <t>CUST-55078</t>
  </si>
  <si>
    <t>Customer 4913</t>
  </si>
  <si>
    <t>PRD-583316</t>
  </si>
  <si>
    <t>Machines Product 285</t>
  </si>
  <si>
    <t>TX-2017-848094</t>
  </si>
  <si>
    <t>CUST-81404</t>
  </si>
  <si>
    <t>Customer 1220</t>
  </si>
  <si>
    <t>PRD-502304</t>
  </si>
  <si>
    <t>TX-2019-677899</t>
  </si>
  <si>
    <t>CUST-58864</t>
  </si>
  <si>
    <t>Customer 1056</t>
  </si>
  <si>
    <t>PRD-979767</t>
  </si>
  <si>
    <t>Labels Product 159</t>
  </si>
  <si>
    <t>CA-2018-224821</t>
  </si>
  <si>
    <t>CUST-43637</t>
  </si>
  <si>
    <t>Customer 4116</t>
  </si>
  <si>
    <t>PRD-649382</t>
  </si>
  <si>
    <t>Machines Product 134</t>
  </si>
  <si>
    <t>TX-2019-829629</t>
  </si>
  <si>
    <t>CUST-60370</t>
  </si>
  <si>
    <t>Customer 4450</t>
  </si>
  <si>
    <t>PRD-681093</t>
  </si>
  <si>
    <t>Art Product 40</t>
  </si>
  <si>
    <t>NY-2016-639617</t>
  </si>
  <si>
    <t>CUST-76877</t>
  </si>
  <si>
    <t>Customer 2847</t>
  </si>
  <si>
    <t>PRD-869436</t>
  </si>
  <si>
    <t>Copiers Product 168</t>
  </si>
  <si>
    <t>NY-2017-927812</t>
  </si>
  <si>
    <t>CUST-33799</t>
  </si>
  <si>
    <t>Customer 3740</t>
  </si>
  <si>
    <t>PRD-979182</t>
  </si>
  <si>
    <t>US-2017-957105</t>
  </si>
  <si>
    <t>CUST-35695</t>
  </si>
  <si>
    <t>PRD-970173</t>
  </si>
  <si>
    <t>CA-2018-143291</t>
  </si>
  <si>
    <t>CUST-78594</t>
  </si>
  <si>
    <t>Customer 548</t>
  </si>
  <si>
    <t>PRD-396014</t>
  </si>
  <si>
    <t>Storage Product 213</t>
  </si>
  <si>
    <t>CA-2019-701347</t>
  </si>
  <si>
    <t>CUST-48480</t>
  </si>
  <si>
    <t>Customer 4382</t>
  </si>
  <si>
    <t>PRD-451561</t>
  </si>
  <si>
    <t>Art Product 52</t>
  </si>
  <si>
    <t>US-2018-894366</t>
  </si>
  <si>
    <t>CUST-49891</t>
  </si>
  <si>
    <t>Customer 964</t>
  </si>
  <si>
    <t>PRD-369732</t>
  </si>
  <si>
    <t>TX-2017-450360</t>
  </si>
  <si>
    <t>CUST-49560</t>
  </si>
  <si>
    <t>Customer 4130</t>
  </si>
  <si>
    <t>PRD-213196</t>
  </si>
  <si>
    <t>Tables Product 105</t>
  </si>
  <si>
    <t>US-2019-737224</t>
  </si>
  <si>
    <t>CUST-26004</t>
  </si>
  <si>
    <t>Customer 4519</t>
  </si>
  <si>
    <t>PRD-866041</t>
  </si>
  <si>
    <t>Tables Product 24</t>
  </si>
  <si>
    <t>TX-2016-284568</t>
  </si>
  <si>
    <t>CUST-68324</t>
  </si>
  <si>
    <t>Customer 4466</t>
  </si>
  <si>
    <t>PRD-572250</t>
  </si>
  <si>
    <t>Accessories Product 260</t>
  </si>
  <si>
    <t>US-2016-234220</t>
  </si>
  <si>
    <t>CUST-79506</t>
  </si>
  <si>
    <t>Customer 728</t>
  </si>
  <si>
    <t>PRD-684857</t>
  </si>
  <si>
    <t>Labels Product 9</t>
  </si>
  <si>
    <t>US-2016-332161</t>
  </si>
  <si>
    <t>CUST-97533</t>
  </si>
  <si>
    <t>Customer 2984</t>
  </si>
  <si>
    <t>PRD-724039</t>
  </si>
  <si>
    <t>Tables Product 60</t>
  </si>
  <si>
    <t>CA-2017-721923</t>
  </si>
  <si>
    <t>CUST-16047</t>
  </si>
  <si>
    <t>Customer 3793</t>
  </si>
  <si>
    <t>PRD-843960</t>
  </si>
  <si>
    <t>Tables Product 174</t>
  </si>
  <si>
    <t>US-2018-247924</t>
  </si>
  <si>
    <t>CUST-75707</t>
  </si>
  <si>
    <t>Customer 573</t>
  </si>
  <si>
    <t>PRD-878662</t>
  </si>
  <si>
    <t>Tables Product 300</t>
  </si>
  <si>
    <t>TX-2016-782438</t>
  </si>
  <si>
    <t>CUST-98118</t>
  </si>
  <si>
    <t>Customer 4297</t>
  </si>
  <si>
    <t>PRD-909878</t>
  </si>
  <si>
    <t>Machines Product 247</t>
  </si>
  <si>
    <t>US-2017-378434</t>
  </si>
  <si>
    <t>CUST-58742</t>
  </si>
  <si>
    <t>Customer 3416</t>
  </si>
  <si>
    <t>PRD-230909</t>
  </si>
  <si>
    <t>Tables Product 17</t>
  </si>
  <si>
    <t>US-2016-976580</t>
  </si>
  <si>
    <t>CUST-69631</t>
  </si>
  <si>
    <t>Customer 3288</t>
  </si>
  <si>
    <t>PRD-773903</t>
  </si>
  <si>
    <t>Chairs Product 15</t>
  </si>
  <si>
    <t>TX-2019-234307</t>
  </si>
  <si>
    <t>CUST-97173</t>
  </si>
  <si>
    <t>PRD-384991</t>
  </si>
  <si>
    <t>CA-2017-298597</t>
  </si>
  <si>
    <t>CUST-87474</t>
  </si>
  <si>
    <t>Customer 3066</t>
  </si>
  <si>
    <t>PRD-205735</t>
  </si>
  <si>
    <t>Bookcases Product 12</t>
  </si>
  <si>
    <t>US-2018-710369</t>
  </si>
  <si>
    <t>CUST-66631</t>
  </si>
  <si>
    <t>Customer 3098</t>
  </si>
  <si>
    <t>PRD-619835</t>
  </si>
  <si>
    <t>Bookcases Product 273</t>
  </si>
  <si>
    <t>NY-2016-568071</t>
  </si>
  <si>
    <t>CUST-20470</t>
  </si>
  <si>
    <t>Customer 756</t>
  </si>
  <si>
    <t>PRD-562921</t>
  </si>
  <si>
    <t>Phones Product 145</t>
  </si>
  <si>
    <t>TX-2019-850534</t>
  </si>
  <si>
    <t>CUST-89436</t>
  </si>
  <si>
    <t>Customer 3396</t>
  </si>
  <si>
    <t>PRD-546722</t>
  </si>
  <si>
    <t>NY-2019-231998</t>
  </si>
  <si>
    <t>CUST-53827</t>
  </si>
  <si>
    <t>Customer 251</t>
  </si>
  <si>
    <t>PRD-786220</t>
  </si>
  <si>
    <t>Furnishings Product 144</t>
  </si>
  <si>
    <t>TX-2017-575326</t>
  </si>
  <si>
    <t>CUST-18445</t>
  </si>
  <si>
    <t>PRD-175951</t>
  </si>
  <si>
    <t>Tables Product 128</t>
  </si>
  <si>
    <t>TX-2018-708139</t>
  </si>
  <si>
    <t>CUST-80524</t>
  </si>
  <si>
    <t>Customer 2408</t>
  </si>
  <si>
    <t>PRD-779108</t>
  </si>
  <si>
    <t>Art Product 262</t>
  </si>
  <si>
    <t>CA-2017-182296</t>
  </si>
  <si>
    <t>CUST-50880</t>
  </si>
  <si>
    <t>Customer 1785</t>
  </si>
  <si>
    <t>PRD-638733</t>
  </si>
  <si>
    <t>Furnishings Product 267</t>
  </si>
  <si>
    <t>CA-2019-852584</t>
  </si>
  <si>
    <t>CUST-71612</t>
  </si>
  <si>
    <t>Customer 2747</t>
  </si>
  <si>
    <t>PRD-383398</t>
  </si>
  <si>
    <t>Phones Product 260</t>
  </si>
  <si>
    <t>CA-2016-342244</t>
  </si>
  <si>
    <t>CUST-25753</t>
  </si>
  <si>
    <t>PRD-130013</t>
  </si>
  <si>
    <t>Binders Product 244</t>
  </si>
  <si>
    <t>NY-2019-676563</t>
  </si>
  <si>
    <t>CUST-53361</t>
  </si>
  <si>
    <t>Customer 2567</t>
  </si>
  <si>
    <t>PRD-726792</t>
  </si>
  <si>
    <t>Storage Product 251</t>
  </si>
  <si>
    <t>NY-2016-684818</t>
  </si>
  <si>
    <t>CUST-61993</t>
  </si>
  <si>
    <t>Customer 4654</t>
  </si>
  <si>
    <t>PRD-400363</t>
  </si>
  <si>
    <t>TX-2017-969200</t>
  </si>
  <si>
    <t>CUST-52351</t>
  </si>
  <si>
    <t>Customer 660</t>
  </si>
  <si>
    <t>PRD-870075</t>
  </si>
  <si>
    <t>Tables Product 144</t>
  </si>
  <si>
    <t>CA-2019-269406</t>
  </si>
  <si>
    <t>CUST-28124</t>
  </si>
  <si>
    <t>Customer 3313</t>
  </si>
  <si>
    <t>PRD-636233</t>
  </si>
  <si>
    <t>Binders Product 152</t>
  </si>
  <si>
    <t>CA-2018-373809</t>
  </si>
  <si>
    <t>CUST-24114</t>
  </si>
  <si>
    <t>Customer 365</t>
  </si>
  <si>
    <t>PRD-181625</t>
  </si>
  <si>
    <t>Chairs Product 21</t>
  </si>
  <si>
    <t>CA-2017-175328</t>
  </si>
  <si>
    <t>CUST-16149</t>
  </si>
  <si>
    <t>Customer 2719</t>
  </si>
  <si>
    <t>PRD-904231</t>
  </si>
  <si>
    <t>Binders Product 22</t>
  </si>
  <si>
    <t>TX-2017-660895</t>
  </si>
  <si>
    <t>CUST-58004</t>
  </si>
  <si>
    <t>PRD-624508</t>
  </si>
  <si>
    <t>TX-2019-389989</t>
  </si>
  <si>
    <t>CUST-98593</t>
  </si>
  <si>
    <t>Customer 2762</t>
  </si>
  <si>
    <t>PRD-203407</t>
  </si>
  <si>
    <t>Copiers Product 86</t>
  </si>
  <si>
    <t>TX-2019-673759</t>
  </si>
  <si>
    <t>CUST-76543</t>
  </si>
  <si>
    <t>Customer 791</t>
  </si>
  <si>
    <t>PRD-717228</t>
  </si>
  <si>
    <t>TX-2018-111578</t>
  </si>
  <si>
    <t>CUST-93717</t>
  </si>
  <si>
    <t>Customer 2432</t>
  </si>
  <si>
    <t>PRD-222515</t>
  </si>
  <si>
    <t>Machines Product 17</t>
  </si>
  <si>
    <t>US-2016-765319</t>
  </si>
  <si>
    <t>CUST-78999</t>
  </si>
  <si>
    <t>PRD-917255</t>
  </si>
  <si>
    <t>Furnishings Product 239</t>
  </si>
  <si>
    <t>CA-2017-514696</t>
  </si>
  <si>
    <t>CUST-94515</t>
  </si>
  <si>
    <t>Customer 1353</t>
  </si>
  <si>
    <t>PRD-680494</t>
  </si>
  <si>
    <t>Phones Product 109</t>
  </si>
  <si>
    <t>US-2016-736519</t>
  </si>
  <si>
    <t>CUST-63513</t>
  </si>
  <si>
    <t>Customer 930</t>
  </si>
  <si>
    <t>PRD-769848</t>
  </si>
  <si>
    <t>Copiers Product 23</t>
  </si>
  <si>
    <t>US-2017-333340</t>
  </si>
  <si>
    <t>CUST-98393</t>
  </si>
  <si>
    <t>Customer 1636</t>
  </si>
  <si>
    <t>PRD-603085</t>
  </si>
  <si>
    <t>Machines Product 159</t>
  </si>
  <si>
    <t>NY-2018-729393</t>
  </si>
  <si>
    <t>CUST-79041</t>
  </si>
  <si>
    <t>Customer 1731</t>
  </si>
  <si>
    <t>PRD-804266</t>
  </si>
  <si>
    <t>Storage Product 78</t>
  </si>
  <si>
    <t>TX-2018-661931</t>
  </si>
  <si>
    <t>CUST-67749</t>
  </si>
  <si>
    <t>Customer 1622</t>
  </si>
  <si>
    <t>PRD-263086</t>
  </si>
  <si>
    <t>Tables Product 234</t>
  </si>
  <si>
    <t>NY-2018-556364</t>
  </si>
  <si>
    <t>CUST-51402</t>
  </si>
  <si>
    <t>Customer 3087</t>
  </si>
  <si>
    <t>PRD-884640</t>
  </si>
  <si>
    <t>Chairs Product 198</t>
  </si>
  <si>
    <t>CA-2016-888812</t>
  </si>
  <si>
    <t>CUST-88743</t>
  </si>
  <si>
    <t>Customer 463</t>
  </si>
  <si>
    <t>PRD-502276</t>
  </si>
  <si>
    <t>Appliances Product 285</t>
  </si>
  <si>
    <t>US-2018-173190</t>
  </si>
  <si>
    <t>CUST-16926</t>
  </si>
  <si>
    <t>Customer 2289</t>
  </si>
  <si>
    <t>PRD-559016</t>
  </si>
  <si>
    <t>Art Product 150</t>
  </si>
  <si>
    <t>CA-2016-647811</t>
  </si>
  <si>
    <t>CUST-97592</t>
  </si>
  <si>
    <t>Customer 1259</t>
  </si>
  <si>
    <t>PRD-505551</t>
  </si>
  <si>
    <t>NY-2017-906483</t>
  </si>
  <si>
    <t>CUST-39627</t>
  </si>
  <si>
    <t>PRD-301558</t>
  </si>
  <si>
    <t>Tables Product 172</t>
  </si>
  <si>
    <t>NY-2019-206547</t>
  </si>
  <si>
    <t>CUST-52864</t>
  </si>
  <si>
    <t>Customer 3898</t>
  </si>
  <si>
    <t>PRD-177245</t>
  </si>
  <si>
    <t>Appliances Product 210</t>
  </si>
  <si>
    <t>TX-2017-742862</t>
  </si>
  <si>
    <t>CUST-20933</t>
  </si>
  <si>
    <t>Customer 2880</t>
  </si>
  <si>
    <t>PRD-756460</t>
  </si>
  <si>
    <t>Tables Product 169</t>
  </si>
  <si>
    <t>NY-2017-209350</t>
  </si>
  <si>
    <t>CUST-88329</t>
  </si>
  <si>
    <t>Customer 1982</t>
  </si>
  <si>
    <t>PRD-917956</t>
  </si>
  <si>
    <t>US-2019-774847</t>
  </si>
  <si>
    <t>CUST-71544</t>
  </si>
  <si>
    <t>Customer 1595</t>
  </si>
  <si>
    <t>PRD-657609</t>
  </si>
  <si>
    <t>Furnishings Product 33</t>
  </si>
  <si>
    <t>US-2019-885905</t>
  </si>
  <si>
    <t>CUST-86876</t>
  </si>
  <si>
    <t>Customer 848</t>
  </si>
  <si>
    <t>PRD-918184</t>
  </si>
  <si>
    <t>Chairs Product 229</t>
  </si>
  <si>
    <t>TX-2017-797495</t>
  </si>
  <si>
    <t>CUST-40104</t>
  </si>
  <si>
    <t>PRD-804102</t>
  </si>
  <si>
    <t>Furnishings Product 17</t>
  </si>
  <si>
    <t>TX-2016-714308</t>
  </si>
  <si>
    <t>CUST-67624</t>
  </si>
  <si>
    <t>PRD-601101</t>
  </si>
  <si>
    <t>Furnishings Product 163</t>
  </si>
  <si>
    <t>NY-2019-590134</t>
  </si>
  <si>
    <t>CUST-79893</t>
  </si>
  <si>
    <t>Customer 2942</t>
  </si>
  <si>
    <t>PRD-294608</t>
  </si>
  <si>
    <t>Chairs Product 155</t>
  </si>
  <si>
    <t>TX-2018-508355</t>
  </si>
  <si>
    <t>CUST-98682</t>
  </si>
  <si>
    <t>Customer 2980</t>
  </si>
  <si>
    <t>PRD-793293</t>
  </si>
  <si>
    <t>Bookcases Product 85</t>
  </si>
  <si>
    <t>CA-2018-277595</t>
  </si>
  <si>
    <t>CUST-19699</t>
  </si>
  <si>
    <t>Customer 1816</t>
  </si>
  <si>
    <t>PRD-730109</t>
  </si>
  <si>
    <t>Chairs Product 249</t>
  </si>
  <si>
    <t>US-2019-209123</t>
  </si>
  <si>
    <t>CUST-71706</t>
  </si>
  <si>
    <t>Customer 1682</t>
  </si>
  <si>
    <t>PRD-708677</t>
  </si>
  <si>
    <t>Accessories Product 82</t>
  </si>
  <si>
    <t>TX-2018-793908</t>
  </si>
  <si>
    <t>CUST-11449</t>
  </si>
  <si>
    <t>Customer 1458</t>
  </si>
  <si>
    <t>PRD-302866</t>
  </si>
  <si>
    <t>Furnishings Product 274</t>
  </si>
  <si>
    <t>TX-2018-528666</t>
  </si>
  <si>
    <t>CUST-51752</t>
  </si>
  <si>
    <t>Customer 581</t>
  </si>
  <si>
    <t>PRD-905085</t>
  </si>
  <si>
    <t>Furnishings Product 221</t>
  </si>
  <si>
    <t>NY-2017-951993</t>
  </si>
  <si>
    <t>CUST-35997</t>
  </si>
  <si>
    <t>Customer 3782</t>
  </si>
  <si>
    <t>PRD-564470</t>
  </si>
  <si>
    <t>NY-2017-890154</t>
  </si>
  <si>
    <t>CUST-21296</t>
  </si>
  <si>
    <t>Customer 3890</t>
  </si>
  <si>
    <t>PRD-791444</t>
  </si>
  <si>
    <t>Art Product 212</t>
  </si>
  <si>
    <t>NY-2016-438563</t>
  </si>
  <si>
    <t>CUST-47848</t>
  </si>
  <si>
    <t>Customer 398</t>
  </si>
  <si>
    <t>PRD-635782</t>
  </si>
  <si>
    <t>Furnishings Product 183</t>
  </si>
  <si>
    <t>NY-2018-821836</t>
  </si>
  <si>
    <t>CUST-11663</t>
  </si>
  <si>
    <t>Customer 467</t>
  </si>
  <si>
    <t>PRD-329712</t>
  </si>
  <si>
    <t>NY-2017-708391</t>
  </si>
  <si>
    <t>CUST-92557</t>
  </si>
  <si>
    <t>Customer 4823</t>
  </si>
  <si>
    <t>PRD-149434</t>
  </si>
  <si>
    <t>Accessories Product 273</t>
  </si>
  <si>
    <t>TX-2017-370387</t>
  </si>
  <si>
    <t>CUST-42673</t>
  </si>
  <si>
    <t>Customer 1121</t>
  </si>
  <si>
    <t>PRD-741347</t>
  </si>
  <si>
    <t>Phones Product 67</t>
  </si>
  <si>
    <t>CA-2016-890571</t>
  </si>
  <si>
    <t>CUST-99979</t>
  </si>
  <si>
    <t>Customer 727</t>
  </si>
  <si>
    <t>PRD-333920</t>
  </si>
  <si>
    <t>Furnishings Product 77</t>
  </si>
  <si>
    <t>CA-2018-219377</t>
  </si>
  <si>
    <t>CUST-47677</t>
  </si>
  <si>
    <t>Customer 3703</t>
  </si>
  <si>
    <t>PRD-888473</t>
  </si>
  <si>
    <t>Furnishings Product 86</t>
  </si>
  <si>
    <t>CA-2018-455447</t>
  </si>
  <si>
    <t>CUST-57339</t>
  </si>
  <si>
    <t>Customer 266</t>
  </si>
  <si>
    <t>PRD-519767</t>
  </si>
  <si>
    <t>Chairs Product 45</t>
  </si>
  <si>
    <t>TX-2017-298904</t>
  </si>
  <si>
    <t>CUST-42781</t>
  </si>
  <si>
    <t>Customer 4105</t>
  </si>
  <si>
    <t>PRD-271187</t>
  </si>
  <si>
    <t>Paper Product 189</t>
  </si>
  <si>
    <t>TX-2019-992013</t>
  </si>
  <si>
    <t>CUST-84099</t>
  </si>
  <si>
    <t>PRD-769416</t>
  </si>
  <si>
    <t>Storage Product 15</t>
  </si>
  <si>
    <t>NY-2018-242458</t>
  </si>
  <si>
    <t>CUST-30912</t>
  </si>
  <si>
    <t>Customer 4487</t>
  </si>
  <si>
    <t>PRD-969706</t>
  </si>
  <si>
    <t>Accessories Product 271</t>
  </si>
  <si>
    <t>TX-2019-659898</t>
  </si>
  <si>
    <t>CUST-86555</t>
  </si>
  <si>
    <t>Customer 3723</t>
  </si>
  <si>
    <t>PRD-923644</t>
  </si>
  <si>
    <t>CA-2016-406760</t>
  </si>
  <si>
    <t>CUST-30268</t>
  </si>
  <si>
    <t>Customer 969</t>
  </si>
  <si>
    <t>PRD-846434</t>
  </si>
  <si>
    <t>Bookcases Product 225</t>
  </si>
  <si>
    <t>TX-2017-101266</t>
  </si>
  <si>
    <t>CUST-14705</t>
  </si>
  <si>
    <t>Customer 4661</t>
  </si>
  <si>
    <t>PRD-882112</t>
  </si>
  <si>
    <t>Tables Product 150</t>
  </si>
  <si>
    <t>US-2016-579254</t>
  </si>
  <si>
    <t>Customer 4387</t>
  </si>
  <si>
    <t>PRD-499478</t>
  </si>
  <si>
    <t>Paper Product 45</t>
  </si>
  <si>
    <t>NY-2019-142098</t>
  </si>
  <si>
    <t>CUST-38645</t>
  </si>
  <si>
    <t>Customer 1350</t>
  </si>
  <si>
    <t>PRD-622564</t>
  </si>
  <si>
    <t>Chairs Product 115</t>
  </si>
  <si>
    <t>US-2016-767684</t>
  </si>
  <si>
    <t>CUST-74804</t>
  </si>
  <si>
    <t>Customer 1742</t>
  </si>
  <si>
    <t>PRD-915720</t>
  </si>
  <si>
    <t>US-2018-674227</t>
  </si>
  <si>
    <t>Customer 2778</t>
  </si>
  <si>
    <t>PRD-665822</t>
  </si>
  <si>
    <t>Accessories Product 269</t>
  </si>
  <si>
    <t>NY-2019-212471</t>
  </si>
  <si>
    <t>CUST-98749</t>
  </si>
  <si>
    <t>PRD-487303</t>
  </si>
  <si>
    <t>Copiers Product 83</t>
  </si>
  <si>
    <t>NY-2019-967468</t>
  </si>
  <si>
    <t>CUST-66643</t>
  </si>
  <si>
    <t>Customer 1210</t>
  </si>
  <si>
    <t>PRD-911167</t>
  </si>
  <si>
    <t>Copiers Product 45</t>
  </si>
  <si>
    <t>TX-2018-279167</t>
  </si>
  <si>
    <t>CUST-16736</t>
  </si>
  <si>
    <t>Customer 2578</t>
  </si>
  <si>
    <t>PRD-911917</t>
  </si>
  <si>
    <t>Appliances Product 148</t>
  </si>
  <si>
    <t>CA-2019-638257</t>
  </si>
  <si>
    <t>CUST-31030</t>
  </si>
  <si>
    <t>Customer 399</t>
  </si>
  <si>
    <t>PRD-341748</t>
  </si>
  <si>
    <t>Bookcases Product 69</t>
  </si>
  <si>
    <t>CA-2016-385142</t>
  </si>
  <si>
    <t>CUST-16449</t>
  </si>
  <si>
    <t>Customer 74</t>
  </si>
  <si>
    <t>PRD-558905</t>
  </si>
  <si>
    <t>NY-2016-968071</t>
  </si>
  <si>
    <t>CUST-13932</t>
  </si>
  <si>
    <t>Customer 4296</t>
  </si>
  <si>
    <t>PRD-826290</t>
  </si>
  <si>
    <t>Paper Product 70</t>
  </si>
  <si>
    <t>US-2018-391909</t>
  </si>
  <si>
    <t>CUST-20076</t>
  </si>
  <si>
    <t>Customer 4338</t>
  </si>
  <si>
    <t>PRD-846570</t>
  </si>
  <si>
    <t>Bookcases Product 260</t>
  </si>
  <si>
    <t>TX-2019-780971</t>
  </si>
  <si>
    <t>CUST-68289</t>
  </si>
  <si>
    <t>Customer 4185</t>
  </si>
  <si>
    <t>PRD-750793</t>
  </si>
  <si>
    <t>Bookcases Product 233</t>
  </si>
  <si>
    <t>TX-2019-476539</t>
  </si>
  <si>
    <t>CUST-97201</t>
  </si>
  <si>
    <t>Customer 3747</t>
  </si>
  <si>
    <t>PRD-207431</t>
  </si>
  <si>
    <t>Machines Product 238</t>
  </si>
  <si>
    <t>CA-2019-687390</t>
  </si>
  <si>
    <t>CUST-29548</t>
  </si>
  <si>
    <t>PRD-653824</t>
  </si>
  <si>
    <t>Machines Product 52</t>
  </si>
  <si>
    <t>NY-2017-195912</t>
  </si>
  <si>
    <t>CUST-41542</t>
  </si>
  <si>
    <t>Customer 2353</t>
  </si>
  <si>
    <t>PRD-424599</t>
  </si>
  <si>
    <t>Machines Product 298</t>
  </si>
  <si>
    <t>US-2017-701569</t>
  </si>
  <si>
    <t>CUST-81051</t>
  </si>
  <si>
    <t>Customer 1582</t>
  </si>
  <si>
    <t>PRD-209092</t>
  </si>
  <si>
    <t>Appliances Product 137</t>
  </si>
  <si>
    <t>US-2019-745982</t>
  </si>
  <si>
    <t>CUST-82743</t>
  </si>
  <si>
    <t>PRD-260541</t>
  </si>
  <si>
    <t>US-2019-717600</t>
  </si>
  <si>
    <t>CUST-94666</t>
  </si>
  <si>
    <t>Customer 1846</t>
  </si>
  <si>
    <t>PRD-475840</t>
  </si>
  <si>
    <t>Accessories Product 176</t>
  </si>
  <si>
    <t>NY-2016-359056</t>
  </si>
  <si>
    <t>CUST-73693</t>
  </si>
  <si>
    <t>PRD-584557</t>
  </si>
  <si>
    <t>Phones Product 20</t>
  </si>
  <si>
    <t>US-2019-644766</t>
  </si>
  <si>
    <t>CUST-16986</t>
  </si>
  <si>
    <t>Customer 1568</t>
  </si>
  <si>
    <t>PRD-239901</t>
  </si>
  <si>
    <t>Copiers Product 77</t>
  </si>
  <si>
    <t>NY-2018-742871</t>
  </si>
  <si>
    <t>CUST-51678</t>
  </si>
  <si>
    <t>Customer 3450</t>
  </si>
  <si>
    <t>PRD-117860</t>
  </si>
  <si>
    <t>Appliances Product 245</t>
  </si>
  <si>
    <t>NY-2016-292597</t>
  </si>
  <si>
    <t>CUST-23157</t>
  </si>
  <si>
    <t>Customer 4723</t>
  </si>
  <si>
    <t>PRD-727900</t>
  </si>
  <si>
    <t>Furnishings Product 280</t>
  </si>
  <si>
    <t>CA-2019-398551</t>
  </si>
  <si>
    <t>CUST-42577</t>
  </si>
  <si>
    <t>Customer 1328</t>
  </si>
  <si>
    <t>PRD-452419</t>
  </si>
  <si>
    <t>TX-2016-964215</t>
  </si>
  <si>
    <t>CUST-24534</t>
  </si>
  <si>
    <t>Customer 2732</t>
  </si>
  <si>
    <t>PRD-318729</t>
  </si>
  <si>
    <t>Phones Product 297</t>
  </si>
  <si>
    <t>NY-2019-693031</t>
  </si>
  <si>
    <t>CUST-74163</t>
  </si>
  <si>
    <t>PRD-849630</t>
  </si>
  <si>
    <t>TX-2017-702404</t>
  </si>
  <si>
    <t>CUST-83326</t>
  </si>
  <si>
    <t>Customer 1819</t>
  </si>
  <si>
    <t>PRD-865151</t>
  </si>
  <si>
    <t>Art Product 142</t>
  </si>
  <si>
    <t>CA-2017-548519</t>
  </si>
  <si>
    <t>CUST-17508</t>
  </si>
  <si>
    <t>Customer 3170</t>
  </si>
  <si>
    <t>PRD-693300</t>
  </si>
  <si>
    <t>Paper Product 93</t>
  </si>
  <si>
    <t>NY-2018-275252</t>
  </si>
  <si>
    <t>CUST-58899</t>
  </si>
  <si>
    <t>Customer 650</t>
  </si>
  <si>
    <t>PRD-185506</t>
  </si>
  <si>
    <t>Chairs Product 14</t>
  </si>
  <si>
    <t>US-2019-154818</t>
  </si>
  <si>
    <t>CUST-13359</t>
  </si>
  <si>
    <t>Customer 1032</t>
  </si>
  <si>
    <t>PRD-716265</t>
  </si>
  <si>
    <t>Accessories Product 178</t>
  </si>
  <si>
    <t>TX-2019-586927</t>
  </si>
  <si>
    <t>CUST-74503</t>
  </si>
  <si>
    <t>Customer 840</t>
  </si>
  <si>
    <t>PRD-579177</t>
  </si>
  <si>
    <t>Furnishings Product 3</t>
  </si>
  <si>
    <t>CA-2016-433579</t>
  </si>
  <si>
    <t>CUST-27093</t>
  </si>
  <si>
    <t>Customer 3291</t>
  </si>
  <si>
    <t>PRD-164679</t>
  </si>
  <si>
    <t>Storage Product 210</t>
  </si>
  <si>
    <t>TX-2018-400311</t>
  </si>
  <si>
    <t>CUST-31474</t>
  </si>
  <si>
    <t>PRD-732196</t>
  </si>
  <si>
    <t>Art Product 26</t>
  </si>
  <si>
    <t>US-2019-839466</t>
  </si>
  <si>
    <t>CUST-81957</t>
  </si>
  <si>
    <t>Customer 1038</t>
  </si>
  <si>
    <t>PRD-167420</t>
  </si>
  <si>
    <t>NY-2016-179712</t>
  </si>
  <si>
    <t>CUST-19438</t>
  </si>
  <si>
    <t>Customer 3206</t>
  </si>
  <si>
    <t>PRD-894261</t>
  </si>
  <si>
    <t>NY-2017-382778</t>
  </si>
  <si>
    <t>CUST-11304</t>
  </si>
  <si>
    <t>Customer 1747</t>
  </si>
  <si>
    <t>PRD-112824</t>
  </si>
  <si>
    <t>Furnishings Product 51</t>
  </si>
  <si>
    <t>CA-2019-410554</t>
  </si>
  <si>
    <t>CUST-42708</t>
  </si>
  <si>
    <t>Customer 3443</t>
  </si>
  <si>
    <t>PRD-418764</t>
  </si>
  <si>
    <t>CA-2019-888697</t>
  </si>
  <si>
    <t>CUST-88121</t>
  </si>
  <si>
    <t>Customer 537</t>
  </si>
  <si>
    <t>PRD-171606</t>
  </si>
  <si>
    <t>Chairs Product 255</t>
  </si>
  <si>
    <t>CA-2018-269685</t>
  </si>
  <si>
    <t>Customer 4536</t>
  </si>
  <si>
    <t>PRD-873006</t>
  </si>
  <si>
    <t>Paper Product 13</t>
  </si>
  <si>
    <t>CA-2018-799884</t>
  </si>
  <si>
    <t>CUST-30401</t>
  </si>
  <si>
    <t>Customer 2395</t>
  </si>
  <si>
    <t>PRD-290942</t>
  </si>
  <si>
    <t>Bookcases Product 276</t>
  </si>
  <si>
    <t>TX-2016-224722</t>
  </si>
  <si>
    <t>CUST-80692</t>
  </si>
  <si>
    <t>Customer 4883</t>
  </si>
  <si>
    <t>PRD-839185</t>
  </si>
  <si>
    <t>CA-2017-838793</t>
  </si>
  <si>
    <t>CUST-26106</t>
  </si>
  <si>
    <t>Customer 743</t>
  </si>
  <si>
    <t>PRD-859899</t>
  </si>
  <si>
    <t>Phones Product 175</t>
  </si>
  <si>
    <t>NY-2019-959291</t>
  </si>
  <si>
    <t>CUST-21927</t>
  </si>
  <si>
    <t>Customer 393</t>
  </si>
  <si>
    <t>PRD-843848</t>
  </si>
  <si>
    <t>Chairs Product 75</t>
  </si>
  <si>
    <t>US-2018-935744</t>
  </si>
  <si>
    <t>CUST-43240</t>
  </si>
  <si>
    <t>Customer 2182</t>
  </si>
  <si>
    <t>PRD-737934</t>
  </si>
  <si>
    <t>Machines Product 48</t>
  </si>
  <si>
    <t>TX-2016-172741</t>
  </si>
  <si>
    <t>CUST-92785</t>
  </si>
  <si>
    <t>Customer 1395</t>
  </si>
  <si>
    <t>PRD-523712</t>
  </si>
  <si>
    <t>Art Product 29</t>
  </si>
  <si>
    <t>TX-2019-686796</t>
  </si>
  <si>
    <t>CUST-17199</t>
  </si>
  <si>
    <t>Customer 2521</t>
  </si>
  <si>
    <t>PRD-139782</t>
  </si>
  <si>
    <t>Bookcases Product 245</t>
  </si>
  <si>
    <t>US-2019-250314</t>
  </si>
  <si>
    <t>CUST-16867</t>
  </si>
  <si>
    <t>PRD-504097</t>
  </si>
  <si>
    <t>Copiers Product 13</t>
  </si>
  <si>
    <t>US-2019-446174</t>
  </si>
  <si>
    <t>CUST-42540</t>
  </si>
  <si>
    <t>Customer 1115</t>
  </si>
  <si>
    <t>PRD-101311</t>
  </si>
  <si>
    <t>US-2019-715557</t>
  </si>
  <si>
    <t>CUST-98516</t>
  </si>
  <si>
    <t>Customer 3143</t>
  </si>
  <si>
    <t>PRD-729346</t>
  </si>
  <si>
    <t>TX-2017-857535</t>
  </si>
  <si>
    <t>CUST-35050</t>
  </si>
  <si>
    <t>Customer 2148</t>
  </si>
  <si>
    <t>PRD-314522</t>
  </si>
  <si>
    <t>Chairs Product 206</t>
  </si>
  <si>
    <t>TX-2019-681053</t>
  </si>
  <si>
    <t>CUST-47400</t>
  </si>
  <si>
    <t>PRD-267679</t>
  </si>
  <si>
    <t>Binders Product 136</t>
  </si>
  <si>
    <t>TX-2016-154393</t>
  </si>
  <si>
    <t>CUST-53761</t>
  </si>
  <si>
    <t>Customer 3175</t>
  </si>
  <si>
    <t>PRD-860833</t>
  </si>
  <si>
    <t>Binders Product 192</t>
  </si>
  <si>
    <t>CA-2019-786988</t>
  </si>
  <si>
    <t>CUST-17067</t>
  </si>
  <si>
    <t>Customer 4878</t>
  </si>
  <si>
    <t>PRD-945713</t>
  </si>
  <si>
    <t>Accessories Product 23</t>
  </si>
  <si>
    <t>CA-2019-192882</t>
  </si>
  <si>
    <t>CUST-29985</t>
  </si>
  <si>
    <t>PRD-348703</t>
  </si>
  <si>
    <t>Machines Product 211</t>
  </si>
  <si>
    <t>TX-2019-385099</t>
  </si>
  <si>
    <t>CUST-18523</t>
  </si>
  <si>
    <t>Customer 3596</t>
  </si>
  <si>
    <t>PRD-317914</t>
  </si>
  <si>
    <t>CA-2016-663165</t>
  </si>
  <si>
    <t>CUST-75748</t>
  </si>
  <si>
    <t>Customer 4240</t>
  </si>
  <si>
    <t>PRD-315280</t>
  </si>
  <si>
    <t>Accessories Product 87</t>
  </si>
  <si>
    <t>TX-2016-252968</t>
  </si>
  <si>
    <t>CUST-21738</t>
  </si>
  <si>
    <t>PRD-704774</t>
  </si>
  <si>
    <t>CA-2019-744366</t>
  </si>
  <si>
    <t>CUST-55632</t>
  </si>
  <si>
    <t>PRD-515147</t>
  </si>
  <si>
    <t>Phones Product 263</t>
  </si>
  <si>
    <t>US-2017-167580</t>
  </si>
  <si>
    <t>CUST-87709</t>
  </si>
  <si>
    <t>Customer 4171</t>
  </si>
  <si>
    <t>PRD-910859</t>
  </si>
  <si>
    <t>Appliances Product 1</t>
  </si>
  <si>
    <t>US-2016-740723</t>
  </si>
  <si>
    <t>CUST-24449</t>
  </si>
  <si>
    <t>Customer 1309</t>
  </si>
  <si>
    <t>PRD-825842</t>
  </si>
  <si>
    <t>US-2016-478349</t>
  </si>
  <si>
    <t>CUST-35215</t>
  </si>
  <si>
    <t>Customer 277</t>
  </si>
  <si>
    <t>PRD-598694</t>
  </si>
  <si>
    <t>Tables Product 100</t>
  </si>
  <si>
    <t>US-2016-874985</t>
  </si>
  <si>
    <t>CUST-58162</t>
  </si>
  <si>
    <t>Customer 4080</t>
  </si>
  <si>
    <t>PRD-631097</t>
  </si>
  <si>
    <t>Art Product 239</t>
  </si>
  <si>
    <t>US-2018-745773</t>
  </si>
  <si>
    <t>CUST-80625</t>
  </si>
  <si>
    <t>Customer 4686</t>
  </si>
  <si>
    <t>PRD-623125</t>
  </si>
  <si>
    <t>Phones Product 155</t>
  </si>
  <si>
    <t>TX-2017-148596</t>
  </si>
  <si>
    <t>CUST-92594</t>
  </si>
  <si>
    <t>Customer 3586</t>
  </si>
  <si>
    <t>PRD-209716</t>
  </si>
  <si>
    <t>Accessories Product 36</t>
  </si>
  <si>
    <t>NY-2018-230149</t>
  </si>
  <si>
    <t>CUST-85278</t>
  </si>
  <si>
    <t>PRD-776102</t>
  </si>
  <si>
    <t>Phones Product 272</t>
  </si>
  <si>
    <t>CA-2018-473911</t>
  </si>
  <si>
    <t>CUST-27117</t>
  </si>
  <si>
    <t>Customer 2000</t>
  </si>
  <si>
    <t>PRD-583935</t>
  </si>
  <si>
    <t>Furnishings Product 233</t>
  </si>
  <si>
    <t>CA-2017-625292</t>
  </si>
  <si>
    <t>CUST-95570</t>
  </si>
  <si>
    <t>Customer 1609</t>
  </si>
  <si>
    <t>PRD-163041</t>
  </si>
  <si>
    <t>Machines Product 286</t>
  </si>
  <si>
    <t>US-2018-894814</t>
  </si>
  <si>
    <t>CUST-34364</t>
  </si>
  <si>
    <t>Customer 3290</t>
  </si>
  <si>
    <t>PRD-378907</t>
  </si>
  <si>
    <t>Binders Product 184</t>
  </si>
  <si>
    <t>TX-2016-394841</t>
  </si>
  <si>
    <t>CUST-43746</t>
  </si>
  <si>
    <t>Customer 1496</t>
  </si>
  <si>
    <t>PRD-854077</t>
  </si>
  <si>
    <t>Phones Product 286</t>
  </si>
  <si>
    <t>NY-2016-418164</t>
  </si>
  <si>
    <t>CUST-45237</t>
  </si>
  <si>
    <t>PRD-585044</t>
  </si>
  <si>
    <t>CA-2017-589245</t>
  </si>
  <si>
    <t>CUST-90682</t>
  </si>
  <si>
    <t>PRD-995340</t>
  </si>
  <si>
    <t>Storage Product 142</t>
  </si>
  <si>
    <t>NY-2016-558047</t>
  </si>
  <si>
    <t>CUST-89960</t>
  </si>
  <si>
    <t>Customer 1840</t>
  </si>
  <si>
    <t>PRD-233220</t>
  </si>
  <si>
    <t>Chairs Product 16</t>
  </si>
  <si>
    <t>US-2019-844906</t>
  </si>
  <si>
    <t>CUST-62610</t>
  </si>
  <si>
    <t>Customer 3050</t>
  </si>
  <si>
    <t>PRD-325069</t>
  </si>
  <si>
    <t>Phones Product 82</t>
  </si>
  <si>
    <t>NY-2016-401086</t>
  </si>
  <si>
    <t>CUST-95653</t>
  </si>
  <si>
    <t>Customer 3730</t>
  </si>
  <si>
    <t>PRD-677568</t>
  </si>
  <si>
    <t>Bookcases Product 293</t>
  </si>
  <si>
    <t>CA-2016-187767</t>
  </si>
  <si>
    <t>CUST-24278</t>
  </si>
  <si>
    <t>Customer 3247</t>
  </si>
  <si>
    <t>PRD-224598</t>
  </si>
  <si>
    <t>Furnishings Product 220</t>
  </si>
  <si>
    <t>NY-2016-667725</t>
  </si>
  <si>
    <t>CUST-40352</t>
  </si>
  <si>
    <t>Customer 2768</t>
  </si>
  <si>
    <t>PRD-577505</t>
  </si>
  <si>
    <t>Storage Product 139</t>
  </si>
  <si>
    <t>NY-2017-478275</t>
  </si>
  <si>
    <t>CUST-18556</t>
  </si>
  <si>
    <t>Customer 1444</t>
  </si>
  <si>
    <t>PRD-903307</t>
  </si>
  <si>
    <t>CA-2018-755445</t>
  </si>
  <si>
    <t>CUST-78464</t>
  </si>
  <si>
    <t>Customer 3463</t>
  </si>
  <si>
    <t>PRD-676554</t>
  </si>
  <si>
    <t>Appliances Product 75</t>
  </si>
  <si>
    <t>TX-2016-148209</t>
  </si>
  <si>
    <t>CUST-56377</t>
  </si>
  <si>
    <t>Customer 3500</t>
  </si>
  <si>
    <t>PRD-897635</t>
  </si>
  <si>
    <t>Chairs Product 146</t>
  </si>
  <si>
    <t>CA-2019-605515</t>
  </si>
  <si>
    <t>CUST-41543</t>
  </si>
  <si>
    <t>Customer 3651</t>
  </si>
  <si>
    <t>PRD-981050</t>
  </si>
  <si>
    <t>Storage Product 51</t>
  </si>
  <si>
    <t>NY-2019-413925</t>
  </si>
  <si>
    <t>CUST-86174</t>
  </si>
  <si>
    <t>PRD-455496</t>
  </si>
  <si>
    <t>TX-2017-159853</t>
  </si>
  <si>
    <t>CUST-58790</t>
  </si>
  <si>
    <t>Customer 4070</t>
  </si>
  <si>
    <t>PRD-676882</t>
  </si>
  <si>
    <t>Binders Product 210</t>
  </si>
  <si>
    <t>CA-2016-122106</t>
  </si>
  <si>
    <t>CUST-29194</t>
  </si>
  <si>
    <t>Customer 653</t>
  </si>
  <si>
    <t>PRD-590500</t>
  </si>
  <si>
    <t>Accessories Product 173</t>
  </si>
  <si>
    <t>US-2018-205321</t>
  </si>
  <si>
    <t>CUST-41610</t>
  </si>
  <si>
    <t>Customer 1792</t>
  </si>
  <si>
    <t>PRD-790108</t>
  </si>
  <si>
    <t>Tables Product 106</t>
  </si>
  <si>
    <t>CA-2019-573294</t>
  </si>
  <si>
    <t>CUST-78719</t>
  </si>
  <si>
    <t>Customer 4827</t>
  </si>
  <si>
    <t>PRD-776777</t>
  </si>
  <si>
    <t>Storage Product 175</t>
  </si>
  <si>
    <t>CA-2016-584607</t>
  </si>
  <si>
    <t>CUST-53490</t>
  </si>
  <si>
    <t>Customer 243</t>
  </si>
  <si>
    <t>PRD-667760</t>
  </si>
  <si>
    <t>Art Product 13</t>
  </si>
  <si>
    <t>TX-2016-327988</t>
  </si>
  <si>
    <t>CUST-84781</t>
  </si>
  <si>
    <t>PRD-883297</t>
  </si>
  <si>
    <t>Paper Product 169</t>
  </si>
  <si>
    <t>TX-2019-468583</t>
  </si>
  <si>
    <t>CUST-99595</t>
  </si>
  <si>
    <t>Customer 267</t>
  </si>
  <si>
    <t>PRD-228113</t>
  </si>
  <si>
    <t>Binders Product 153</t>
  </si>
  <si>
    <t>TX-2016-684674</t>
  </si>
  <si>
    <t>CUST-20307</t>
  </si>
  <si>
    <t>Customer 2652</t>
  </si>
  <si>
    <t>PRD-107876</t>
  </si>
  <si>
    <t>Appliances Product 64</t>
  </si>
  <si>
    <t>NY-2017-317919</t>
  </si>
  <si>
    <t>CUST-22872</t>
  </si>
  <si>
    <t>Customer 144</t>
  </si>
  <si>
    <t>PRD-201056</t>
  </si>
  <si>
    <t>Binders Product 134</t>
  </si>
  <si>
    <t>US-2016-177662</t>
  </si>
  <si>
    <t>CUST-30262</t>
  </si>
  <si>
    <t>Customer 111</t>
  </si>
  <si>
    <t>PRD-917085</t>
  </si>
  <si>
    <t>Machines Product 38</t>
  </si>
  <si>
    <t>US-2019-633954</t>
  </si>
  <si>
    <t>CUST-97998</t>
  </si>
  <si>
    <t>Customer 4551</t>
  </si>
  <si>
    <t>PRD-299660</t>
  </si>
  <si>
    <t>US-2017-794356</t>
  </si>
  <si>
    <t>CUST-19697</t>
  </si>
  <si>
    <t>Customer 4100</t>
  </si>
  <si>
    <t>PRD-792930</t>
  </si>
  <si>
    <t>US-2019-123972</t>
  </si>
  <si>
    <t>CUST-83888</t>
  </si>
  <si>
    <t>Customer 2307</t>
  </si>
  <si>
    <t>PRD-354625</t>
  </si>
  <si>
    <t>Paper Product 225</t>
  </si>
  <si>
    <t>TX-2018-111381</t>
  </si>
  <si>
    <t>CUST-88824</t>
  </si>
  <si>
    <t>PRD-887018</t>
  </si>
  <si>
    <t>Tables Product 70</t>
  </si>
  <si>
    <t>CA-2019-141233</t>
  </si>
  <si>
    <t>CUST-10775</t>
  </si>
  <si>
    <t>PRD-724843</t>
  </si>
  <si>
    <t>US-2018-796831</t>
  </si>
  <si>
    <t>CUST-49698</t>
  </si>
  <si>
    <t>Customer 2914</t>
  </si>
  <si>
    <t>PRD-862387</t>
  </si>
  <si>
    <t>Furnishings Product 226</t>
  </si>
  <si>
    <t>TX-2017-823779</t>
  </si>
  <si>
    <t>CUST-97974</t>
  </si>
  <si>
    <t>Customer 3697</t>
  </si>
  <si>
    <t>PRD-149530</t>
  </si>
  <si>
    <t>Art Product 89</t>
  </si>
  <si>
    <t>TX-2019-736645</t>
  </si>
  <si>
    <t>CUST-13287</t>
  </si>
  <si>
    <t>Customer 4299</t>
  </si>
  <si>
    <t>PRD-818866</t>
  </si>
  <si>
    <t>Tables Product 8</t>
  </si>
  <si>
    <t>CA-2016-838894</t>
  </si>
  <si>
    <t>CUST-59204</t>
  </si>
  <si>
    <t>Customer 4199</t>
  </si>
  <si>
    <t>PRD-316221</t>
  </si>
  <si>
    <t>Bookcases Product 210</t>
  </si>
  <si>
    <t>CA-2017-240674</t>
  </si>
  <si>
    <t>CUST-69143</t>
  </si>
  <si>
    <t>PRD-597396</t>
  </si>
  <si>
    <t>Chairs Product 223</t>
  </si>
  <si>
    <t>TX-2016-716930</t>
  </si>
  <si>
    <t>CUST-91835</t>
  </si>
  <si>
    <t>Customer 4323</t>
  </si>
  <si>
    <t>PRD-194897</t>
  </si>
  <si>
    <t>Labels Product 91</t>
  </si>
  <si>
    <t>NY-2018-609892</t>
  </si>
  <si>
    <t>CUST-52753</t>
  </si>
  <si>
    <t>Customer 2582</t>
  </si>
  <si>
    <t>PRD-972772</t>
  </si>
  <si>
    <t>Binders Product 106</t>
  </si>
  <si>
    <t>CA-2018-197103</t>
  </si>
  <si>
    <t>CUST-95622</t>
  </si>
  <si>
    <t>Customer 4797</t>
  </si>
  <si>
    <t>PRD-212681</t>
  </si>
  <si>
    <t>Accessories Product 226</t>
  </si>
  <si>
    <t>US-2018-746277</t>
  </si>
  <si>
    <t>CUST-48473</t>
  </si>
  <si>
    <t>Customer 409</t>
  </si>
  <si>
    <t>PRD-431593</t>
  </si>
  <si>
    <t>US-2017-581681</t>
  </si>
  <si>
    <t>CUST-79617</t>
  </si>
  <si>
    <t>Customer 3199</t>
  </si>
  <si>
    <t>PRD-151053</t>
  </si>
  <si>
    <t>NY-2016-891144</t>
  </si>
  <si>
    <t>CUST-98651</t>
  </si>
  <si>
    <t>Customer 734</t>
  </si>
  <si>
    <t>PRD-401212</t>
  </si>
  <si>
    <t>US-2016-907401</t>
  </si>
  <si>
    <t>CUST-92835</t>
  </si>
  <si>
    <t>Customer 2321</t>
  </si>
  <si>
    <t>PRD-812887</t>
  </si>
  <si>
    <t>US-2017-693659</t>
  </si>
  <si>
    <t>CUST-36103</t>
  </si>
  <si>
    <t>Customer 1434</t>
  </si>
  <si>
    <t>PRD-956212</t>
  </si>
  <si>
    <t>NY-2016-667609</t>
  </si>
  <si>
    <t>CUST-58295</t>
  </si>
  <si>
    <t>Customer 4232</t>
  </si>
  <si>
    <t>PRD-841256</t>
  </si>
  <si>
    <t>Accessories Product 170</t>
  </si>
  <si>
    <t>US-2016-486245</t>
  </si>
  <si>
    <t>CUST-29865</t>
  </si>
  <si>
    <t>Customer 614</t>
  </si>
  <si>
    <t>PRD-122097</t>
  </si>
  <si>
    <t>NY-2019-200266</t>
  </si>
  <si>
    <t>CUST-57683</t>
  </si>
  <si>
    <t>Customer 2085</t>
  </si>
  <si>
    <t>PRD-129619</t>
  </si>
  <si>
    <t>Binders Product 252</t>
  </si>
  <si>
    <t>US-2016-250991</t>
  </si>
  <si>
    <t>CUST-22446</t>
  </si>
  <si>
    <t>Customer 4941</t>
  </si>
  <si>
    <t>PRD-745679</t>
  </si>
  <si>
    <t>Binders Product 83</t>
  </si>
  <si>
    <t>TX-2019-243365</t>
  </si>
  <si>
    <t>CUST-86092</t>
  </si>
  <si>
    <t>Customer 4753</t>
  </si>
  <si>
    <t>PRD-436120</t>
  </si>
  <si>
    <t>Accessories Product 103</t>
  </si>
  <si>
    <t>NY-2016-733727</t>
  </si>
  <si>
    <t>CUST-52347</t>
  </si>
  <si>
    <t>Customer 186</t>
  </si>
  <si>
    <t>PRD-240674</t>
  </si>
  <si>
    <t>Chairs Product 253</t>
  </si>
  <si>
    <t>CA-2016-535820</t>
  </si>
  <si>
    <t>Customer 4203</t>
  </si>
  <si>
    <t>PRD-401616</t>
  </si>
  <si>
    <t>Bookcases Product 252</t>
  </si>
  <si>
    <t>TX-2019-731134</t>
  </si>
  <si>
    <t>CUST-68245</t>
  </si>
  <si>
    <t>PRD-145042</t>
  </si>
  <si>
    <t>US-2018-122286</t>
  </si>
  <si>
    <t>CUST-76200</t>
  </si>
  <si>
    <t>Customer 1638</t>
  </si>
  <si>
    <t>PRD-633249</t>
  </si>
  <si>
    <t>Bookcases Product 87</t>
  </si>
  <si>
    <t>CA-2019-101787</t>
  </si>
  <si>
    <t>CUST-29148</t>
  </si>
  <si>
    <t>PRD-919882</t>
  </si>
  <si>
    <t>Appliances Product 88</t>
  </si>
  <si>
    <t>TX-2016-829079</t>
  </si>
  <si>
    <t>CUST-25031</t>
  </si>
  <si>
    <t>Customer 3870</t>
  </si>
  <si>
    <t>PRD-825211</t>
  </si>
  <si>
    <t>Labels Product 202</t>
  </si>
  <si>
    <t>US-2018-745560</t>
  </si>
  <si>
    <t>CUST-66048</t>
  </si>
  <si>
    <t>Customer 4448</t>
  </si>
  <si>
    <t>PRD-117018</t>
  </si>
  <si>
    <t>Chairs Product 298</t>
  </si>
  <si>
    <t>NY-2017-551204</t>
  </si>
  <si>
    <t>CUST-44242</t>
  </si>
  <si>
    <t>PRD-681593</t>
  </si>
  <si>
    <t>Accessories Product 296</t>
  </si>
  <si>
    <t>US-2017-592422</t>
  </si>
  <si>
    <t>CUST-92065</t>
  </si>
  <si>
    <t>Customer 2235</t>
  </si>
  <si>
    <t>PRD-910854</t>
  </si>
  <si>
    <t>Appliances Product 13</t>
  </si>
  <si>
    <t>US-2018-888848</t>
  </si>
  <si>
    <t>CUST-44484</t>
  </si>
  <si>
    <t>Customer 2009</t>
  </si>
  <si>
    <t>PRD-625158</t>
  </si>
  <si>
    <t>Appliances Product 2</t>
  </si>
  <si>
    <t>CA-2017-542912</t>
  </si>
  <si>
    <t>CUST-42911</t>
  </si>
  <si>
    <t>PRD-510567</t>
  </si>
  <si>
    <t>US-2017-461762</t>
  </si>
  <si>
    <t>CUST-61520</t>
  </si>
  <si>
    <t>Customer 4708</t>
  </si>
  <si>
    <t>PRD-482822</t>
  </si>
  <si>
    <t>Tables Product 127</t>
  </si>
  <si>
    <t>NY-2018-542968</t>
  </si>
  <si>
    <t>CUST-80810</t>
  </si>
  <si>
    <t>Customer 2114</t>
  </si>
  <si>
    <t>PRD-774671</t>
  </si>
  <si>
    <t>Bookcases Product 16</t>
  </si>
  <si>
    <t>US-2016-422944</t>
  </si>
  <si>
    <t>CUST-12499</t>
  </si>
  <si>
    <t>Customer 4405</t>
  </si>
  <si>
    <t>PRD-975624</t>
  </si>
  <si>
    <t>TX-2018-535230</t>
  </si>
  <si>
    <t>CUST-68539</t>
  </si>
  <si>
    <t>Customer 3665</t>
  </si>
  <si>
    <t>PRD-708044</t>
  </si>
  <si>
    <t>Accessories Product 177</t>
  </si>
  <si>
    <t>CA-2016-885680</t>
  </si>
  <si>
    <t>CUST-55777</t>
  </si>
  <si>
    <t>Customer 402</t>
  </si>
  <si>
    <t>PRD-629255</t>
  </si>
  <si>
    <t>Phones Product 162</t>
  </si>
  <si>
    <t>CA-2016-885255</t>
  </si>
  <si>
    <t>CUST-45170</t>
  </si>
  <si>
    <t>Customer 301</t>
  </si>
  <si>
    <t>PRD-725754</t>
  </si>
  <si>
    <t>Accessories Product 194</t>
  </si>
  <si>
    <t>US-2018-305384</t>
  </si>
  <si>
    <t>CUST-18439</t>
  </si>
  <si>
    <t>Customer 2146</t>
  </si>
  <si>
    <t>PRD-986839</t>
  </si>
  <si>
    <t>Storage Product 1</t>
  </si>
  <si>
    <t>NY-2018-853526</t>
  </si>
  <si>
    <t>CUST-39355</t>
  </si>
  <si>
    <t>Customer 4177</t>
  </si>
  <si>
    <t>PRD-544403</t>
  </si>
  <si>
    <t>US-2019-933253</t>
  </si>
  <si>
    <t>CUST-71087</t>
  </si>
  <si>
    <t>Customer 857</t>
  </si>
  <si>
    <t>PRD-649171</t>
  </si>
  <si>
    <t>Labels Product 210</t>
  </si>
  <si>
    <t>NY-2018-787964</t>
  </si>
  <si>
    <t>CUST-31007</t>
  </si>
  <si>
    <t>Customer 1996</t>
  </si>
  <si>
    <t>PRD-170561</t>
  </si>
  <si>
    <t>US-2019-235341</t>
  </si>
  <si>
    <t>CUST-29589</t>
  </si>
  <si>
    <t>Customer 3200</t>
  </si>
  <si>
    <t>PRD-381917</t>
  </si>
  <si>
    <t>Paper Product 23</t>
  </si>
  <si>
    <t>US-2017-439911</t>
  </si>
  <si>
    <t>CUST-41115</t>
  </si>
  <si>
    <t>PRD-235437</t>
  </si>
  <si>
    <t>Paper Product 184</t>
  </si>
  <si>
    <t>CA-2018-165553</t>
  </si>
  <si>
    <t>CUST-40852</t>
  </si>
  <si>
    <t>PRD-111554</t>
  </si>
  <si>
    <t>Art Product 87</t>
  </si>
  <si>
    <t>TX-2017-599155</t>
  </si>
  <si>
    <t>CUST-25023</t>
  </si>
  <si>
    <t>Customer 4510</t>
  </si>
  <si>
    <t>PRD-199338</t>
  </si>
  <si>
    <t>CA-2019-316638</t>
  </si>
  <si>
    <t>CUST-62590</t>
  </si>
  <si>
    <t>Customer 1286</t>
  </si>
  <si>
    <t>PRD-557007</t>
  </si>
  <si>
    <t>Chairs Product 291</t>
  </si>
  <si>
    <t>CA-2016-902796</t>
  </si>
  <si>
    <t>CUST-22832</t>
  </si>
  <si>
    <t>Customer 795</t>
  </si>
  <si>
    <t>PRD-760054</t>
  </si>
  <si>
    <t>US-2016-586450</t>
  </si>
  <si>
    <t>CUST-77376</t>
  </si>
  <si>
    <t>Customer 1468</t>
  </si>
  <si>
    <t>PRD-632882</t>
  </si>
  <si>
    <t>Paper Product 219</t>
  </si>
  <si>
    <t>CA-2019-610860</t>
  </si>
  <si>
    <t>CUST-69911</t>
  </si>
  <si>
    <t>Customer 169</t>
  </si>
  <si>
    <t>PRD-196886</t>
  </si>
  <si>
    <t>CA-2019-991448</t>
  </si>
  <si>
    <t>CUST-47649</t>
  </si>
  <si>
    <t>Customer 832</t>
  </si>
  <si>
    <t>PRD-395044</t>
  </si>
  <si>
    <t>US-2019-630572</t>
  </si>
  <si>
    <t>CUST-47144</t>
  </si>
  <si>
    <t>Customer 3032</t>
  </si>
  <si>
    <t>PRD-435342</t>
  </si>
  <si>
    <t>Tables Product 269</t>
  </si>
  <si>
    <t>US-2016-959615</t>
  </si>
  <si>
    <t>CUST-39914</t>
  </si>
  <si>
    <t>Customer 1885</t>
  </si>
  <si>
    <t>PRD-242472</t>
  </si>
  <si>
    <t>Paper Product 246</t>
  </si>
  <si>
    <t>CA-2019-215702</t>
  </si>
  <si>
    <t>CUST-52060</t>
  </si>
  <si>
    <t>Customer 2038</t>
  </si>
  <si>
    <t>PRD-326316</t>
  </si>
  <si>
    <t>Tables Product 66</t>
  </si>
  <si>
    <t>NY-2016-742208</t>
  </si>
  <si>
    <t>CUST-19387</t>
  </si>
  <si>
    <t>Customer 3093</t>
  </si>
  <si>
    <t>PRD-484614</t>
  </si>
  <si>
    <t>Bookcases Product 33</t>
  </si>
  <si>
    <t>US-2016-582056</t>
  </si>
  <si>
    <t>CUST-84986</t>
  </si>
  <si>
    <t>Customer 2587</t>
  </si>
  <si>
    <t>PRD-975921</t>
  </si>
  <si>
    <t>Tables Product 270</t>
  </si>
  <si>
    <t>CA-2018-486527</t>
  </si>
  <si>
    <t>CUST-58829</t>
  </si>
  <si>
    <t>Customer 3893</t>
  </si>
  <si>
    <t>PRD-230737</t>
  </si>
  <si>
    <t>Phones Product 204</t>
  </si>
  <si>
    <t>NY-2016-229295</t>
  </si>
  <si>
    <t>CUST-41197</t>
  </si>
  <si>
    <t>Customer 1739</t>
  </si>
  <si>
    <t>PRD-869340</t>
  </si>
  <si>
    <t>Machines Product 195</t>
  </si>
  <si>
    <t>CA-2016-894764</t>
  </si>
  <si>
    <t>CUST-32136</t>
  </si>
  <si>
    <t>Customer 1242</t>
  </si>
  <si>
    <t>PRD-460200</t>
  </si>
  <si>
    <t>Storage Product 277</t>
  </si>
  <si>
    <t>US-2019-173935</t>
  </si>
  <si>
    <t>CUST-92539</t>
  </si>
  <si>
    <t>Customer 481</t>
  </si>
  <si>
    <t>PRD-900079</t>
  </si>
  <si>
    <t>CA-2019-840893</t>
  </si>
  <si>
    <t>CUST-15665</t>
  </si>
  <si>
    <t>Customer 1625</t>
  </si>
  <si>
    <t>PRD-974831</t>
  </si>
  <si>
    <t>Phones Product 117</t>
  </si>
  <si>
    <t>CA-2017-373366</t>
  </si>
  <si>
    <t>CUST-14151</t>
  </si>
  <si>
    <t>PRD-930896</t>
  </si>
  <si>
    <t>Furnishings Product 61</t>
  </si>
  <si>
    <t>CA-2016-259760</t>
  </si>
  <si>
    <t>CUST-74898</t>
  </si>
  <si>
    <t>Customer 2192</t>
  </si>
  <si>
    <t>PRD-594159</t>
  </si>
  <si>
    <t>Storage Product 155</t>
  </si>
  <si>
    <t>NY-2017-547612</t>
  </si>
  <si>
    <t>CUST-77457</t>
  </si>
  <si>
    <t>Customer 1470</t>
  </si>
  <si>
    <t>PRD-821672</t>
  </si>
  <si>
    <t>Machines Product 43</t>
  </si>
  <si>
    <t>CA-2018-297468</t>
  </si>
  <si>
    <t>CUST-27121</t>
  </si>
  <si>
    <t>PRD-350335</t>
  </si>
  <si>
    <t>TX-2016-280609</t>
  </si>
  <si>
    <t>CUST-66985</t>
  </si>
  <si>
    <t>Customer 1385</t>
  </si>
  <si>
    <t>PRD-859698</t>
  </si>
  <si>
    <t>Bookcases Product 116</t>
  </si>
  <si>
    <t>CA-2019-362144</t>
  </si>
  <si>
    <t>CUST-70784</t>
  </si>
  <si>
    <t>PRD-686118</t>
  </si>
  <si>
    <t>Labels Product 11</t>
  </si>
  <si>
    <t>TX-2016-678345</t>
  </si>
  <si>
    <t>CUST-28122</t>
  </si>
  <si>
    <t>Customer 2512</t>
  </si>
  <si>
    <t>PRD-908467</t>
  </si>
  <si>
    <t>Accessories Product 148</t>
  </si>
  <si>
    <t>US-2018-901613</t>
  </si>
  <si>
    <t>CUST-35409</t>
  </si>
  <si>
    <t>Customer 4759</t>
  </si>
  <si>
    <t>PRD-995984</t>
  </si>
  <si>
    <t>Storage Product 197</t>
  </si>
  <si>
    <t>US-2019-859079</t>
  </si>
  <si>
    <t>CUST-21612</t>
  </si>
  <si>
    <t>Customer 4453</t>
  </si>
  <si>
    <t>PRD-605872</t>
  </si>
  <si>
    <t>Storage Product 171</t>
  </si>
  <si>
    <t>TX-2018-128770</t>
  </si>
  <si>
    <t>CUST-20689</t>
  </si>
  <si>
    <t>Customer 1314</t>
  </si>
  <si>
    <t>PRD-993344</t>
  </si>
  <si>
    <t>Furnishings Product 82</t>
  </si>
  <si>
    <t>NY-2018-244582</t>
  </si>
  <si>
    <t>CUST-50013</t>
  </si>
  <si>
    <t>Customer 2178</t>
  </si>
  <si>
    <t>PRD-793920</t>
  </si>
  <si>
    <t>Bookcases Product 35</t>
  </si>
  <si>
    <t>TX-2017-902014</t>
  </si>
  <si>
    <t>CUST-88642</t>
  </si>
  <si>
    <t>Customer 839</t>
  </si>
  <si>
    <t>PRD-508318</t>
  </si>
  <si>
    <t>Art Product 104</t>
  </si>
  <si>
    <t>NY-2016-460991</t>
  </si>
  <si>
    <t>CUST-66714</t>
  </si>
  <si>
    <t>Customer 503</t>
  </si>
  <si>
    <t>PRD-916077</t>
  </si>
  <si>
    <t>Accessories Product 169</t>
  </si>
  <si>
    <t>US-2016-998108</t>
  </si>
  <si>
    <t>CUST-24231</t>
  </si>
  <si>
    <t>Customer 1554</t>
  </si>
  <si>
    <t>PRD-625240</t>
  </si>
  <si>
    <t>Bookcases Product 192</t>
  </si>
  <si>
    <t>TX-2017-698543</t>
  </si>
  <si>
    <t>CUST-47350</t>
  </si>
  <si>
    <t>Customer 455</t>
  </si>
  <si>
    <t>PRD-123774</t>
  </si>
  <si>
    <t>Machines Product 70</t>
  </si>
  <si>
    <t>NY-2019-697545</t>
  </si>
  <si>
    <t>CUST-82763</t>
  </si>
  <si>
    <t>Customer 4220</t>
  </si>
  <si>
    <t>PRD-288079</t>
  </si>
  <si>
    <t>Bookcases Product 62</t>
  </si>
  <si>
    <t>NY-2016-141658</t>
  </si>
  <si>
    <t>CUST-18019</t>
  </si>
  <si>
    <t>Customer 529</t>
  </si>
  <si>
    <t>PRD-438866</t>
  </si>
  <si>
    <t>NY-2016-723080</t>
  </si>
  <si>
    <t>CUST-80358</t>
  </si>
  <si>
    <t>Customer 3720</t>
  </si>
  <si>
    <t>PRD-707201</t>
  </si>
  <si>
    <t>Paper Product 21</t>
  </si>
  <si>
    <t>CA-2018-985478</t>
  </si>
  <si>
    <t>CUST-71197</t>
  </si>
  <si>
    <t>Customer 2172</t>
  </si>
  <si>
    <t>PRD-664044</t>
  </si>
  <si>
    <t>US-2017-455815</t>
  </si>
  <si>
    <t>CUST-69716</t>
  </si>
  <si>
    <t>Customer 2656</t>
  </si>
  <si>
    <t>PRD-527065</t>
  </si>
  <si>
    <t>Art Product 30</t>
  </si>
  <si>
    <t>US-2017-865175</t>
  </si>
  <si>
    <t>CUST-57294</t>
  </si>
  <si>
    <t>Customer 591</t>
  </si>
  <si>
    <t>PRD-211978</t>
  </si>
  <si>
    <t>Bookcases Product 205</t>
  </si>
  <si>
    <t>US-2016-880200</t>
  </si>
  <si>
    <t>CUST-99553</t>
  </si>
  <si>
    <t>Customer 3118</t>
  </si>
  <si>
    <t>PRD-490082</t>
  </si>
  <si>
    <t>TX-2017-342540</t>
  </si>
  <si>
    <t>CUST-23668</t>
  </si>
  <si>
    <t>Customer 2335</t>
  </si>
  <si>
    <t>PRD-782845</t>
  </si>
  <si>
    <t>Copiers Product 284</t>
  </si>
  <si>
    <t>TX-2018-658657</t>
  </si>
  <si>
    <t>CUST-16444</t>
  </si>
  <si>
    <t>Customer 942</t>
  </si>
  <si>
    <t>PRD-928852</t>
  </si>
  <si>
    <t>Bookcases Product 143</t>
  </si>
  <si>
    <t>TX-2018-803368</t>
  </si>
  <si>
    <t>CUST-62278</t>
  </si>
  <si>
    <t>Customer 3190</t>
  </si>
  <si>
    <t>PRD-953610</t>
  </si>
  <si>
    <t>Machines Product 165</t>
  </si>
  <si>
    <t>CA-2016-783905</t>
  </si>
  <si>
    <t>CUST-38674</t>
  </si>
  <si>
    <t>Customer 136</t>
  </si>
  <si>
    <t>PRD-707403</t>
  </si>
  <si>
    <t>Chairs Product 12</t>
  </si>
  <si>
    <t>CA-2019-524031</t>
  </si>
  <si>
    <t>CUST-88529</t>
  </si>
  <si>
    <t>Customer 4280</t>
  </si>
  <si>
    <t>PRD-133490</t>
  </si>
  <si>
    <t>Labels Product 300</t>
  </si>
  <si>
    <t>TX-2016-916004</t>
  </si>
  <si>
    <t>CUST-39869</t>
  </si>
  <si>
    <t>Customer 3407</t>
  </si>
  <si>
    <t>PRD-795442</t>
  </si>
  <si>
    <t>Chairs Product 13</t>
  </si>
  <si>
    <t>CA-2018-775828</t>
  </si>
  <si>
    <t>CUST-43297</t>
  </si>
  <si>
    <t>Customer 2947</t>
  </si>
  <si>
    <t>PRD-143075</t>
  </si>
  <si>
    <t>Phones Product 164</t>
  </si>
  <si>
    <t>NY-2016-243283</t>
  </si>
  <si>
    <t>CUST-19586</t>
  </si>
  <si>
    <t>PRD-565142</t>
  </si>
  <si>
    <t>Machines Product 214</t>
  </si>
  <si>
    <t>TX-2018-694656</t>
  </si>
  <si>
    <t>CUST-14932</t>
  </si>
  <si>
    <t>Customer 16</t>
  </si>
  <si>
    <t>PRD-755367</t>
  </si>
  <si>
    <t>Labels Product 108</t>
  </si>
  <si>
    <t>TX-2019-770640</t>
  </si>
  <si>
    <t>CUST-63944</t>
  </si>
  <si>
    <t>Customer 3647</t>
  </si>
  <si>
    <t>PRD-632083</t>
  </si>
  <si>
    <t>Binders Product 5</t>
  </si>
  <si>
    <t>NY-2017-605934</t>
  </si>
  <si>
    <t>CUST-27892</t>
  </si>
  <si>
    <t>Customer 3962</t>
  </si>
  <si>
    <t>PRD-820151</t>
  </si>
  <si>
    <t>Storage Product 284</t>
  </si>
  <si>
    <t>CA-2016-192490</t>
  </si>
  <si>
    <t>CUST-57766</t>
  </si>
  <si>
    <t>Customer 4938</t>
  </si>
  <si>
    <t>PRD-283685</t>
  </si>
  <si>
    <t>Copiers Product 85</t>
  </si>
  <si>
    <t>CA-2019-797771</t>
  </si>
  <si>
    <t>CUST-80812</t>
  </si>
  <si>
    <t>PRD-916235</t>
  </si>
  <si>
    <t>TX-2017-191455</t>
  </si>
  <si>
    <t>CUST-75526</t>
  </si>
  <si>
    <t>Customer 2383</t>
  </si>
  <si>
    <t>PRD-508686</t>
  </si>
  <si>
    <t>CA-2018-527271</t>
  </si>
  <si>
    <t>CUST-51711</t>
  </si>
  <si>
    <t>Customer 3824</t>
  </si>
  <si>
    <t>PRD-413970</t>
  </si>
  <si>
    <t>NY-2017-275059</t>
  </si>
  <si>
    <t>CUST-15847</t>
  </si>
  <si>
    <t>Phones Product 66</t>
  </si>
  <si>
    <t>CA-2016-117951</t>
  </si>
  <si>
    <t>CUST-14770</t>
  </si>
  <si>
    <t>PRD-379371</t>
  </si>
  <si>
    <t>Tables Product 257</t>
  </si>
  <si>
    <t>US-2019-536739</t>
  </si>
  <si>
    <t>CUST-13118</t>
  </si>
  <si>
    <t>PRD-227791</t>
  </si>
  <si>
    <t>Tables Product 109</t>
  </si>
  <si>
    <t>TX-2018-883304</t>
  </si>
  <si>
    <t>CUST-18158</t>
  </si>
  <si>
    <t>Customer 1580</t>
  </si>
  <si>
    <t>PRD-202393</t>
  </si>
  <si>
    <t>Appliances Product 22</t>
  </si>
  <si>
    <t>US-2016-770518</t>
  </si>
  <si>
    <t>CUST-65614</t>
  </si>
  <si>
    <t>Customer 2818</t>
  </si>
  <si>
    <t>PRD-358383</t>
  </si>
  <si>
    <t>Furnishings Product 187</t>
  </si>
  <si>
    <t>CA-2019-960661</t>
  </si>
  <si>
    <t>CUST-34890</t>
  </si>
  <si>
    <t>Customer 3759</t>
  </si>
  <si>
    <t>PRD-387062</t>
  </si>
  <si>
    <t>NY-2017-898054</t>
  </si>
  <si>
    <t>CUST-69582</t>
  </si>
  <si>
    <t>PRD-420474</t>
  </si>
  <si>
    <t>Accessories Product 189</t>
  </si>
  <si>
    <t>US-2016-324274</t>
  </si>
  <si>
    <t>CUST-81625</t>
  </si>
  <si>
    <t>Customer 2531</t>
  </si>
  <si>
    <t>PRD-295296</t>
  </si>
  <si>
    <t>Tables Product 108</t>
  </si>
  <si>
    <t>US-2017-594003</t>
  </si>
  <si>
    <t>CUST-35986</t>
  </si>
  <si>
    <t>Customer 1946</t>
  </si>
  <si>
    <t>PRD-707488</t>
  </si>
  <si>
    <t>Furnishings Product 247</t>
  </si>
  <si>
    <t>NY-2019-397577</t>
  </si>
  <si>
    <t>CUST-64885</t>
  </si>
  <si>
    <t>Customer 3796</t>
  </si>
  <si>
    <t>PRD-574152</t>
  </si>
  <si>
    <t>Furnishings Product 93</t>
  </si>
  <si>
    <t>TX-2018-978986</t>
  </si>
  <si>
    <t>CUST-80070</t>
  </si>
  <si>
    <t>PRD-756512</t>
  </si>
  <si>
    <t>Copiers Product 184</t>
  </si>
  <si>
    <t>CA-2017-181404</t>
  </si>
  <si>
    <t>CUST-36900</t>
  </si>
  <si>
    <t>Customer 2202</t>
  </si>
  <si>
    <t>PRD-107455</t>
  </si>
  <si>
    <t>Binders Product 290</t>
  </si>
  <si>
    <t>TX-2017-569423</t>
  </si>
  <si>
    <t>CUST-51395</t>
  </si>
  <si>
    <t>Customer 3390</t>
  </si>
  <si>
    <t>PRD-986882</t>
  </si>
  <si>
    <t>Storage Product 72</t>
  </si>
  <si>
    <t>US-2016-804034</t>
  </si>
  <si>
    <t>CUST-88068</t>
  </si>
  <si>
    <t>Customer 1811</t>
  </si>
  <si>
    <t>PRD-559377</t>
  </si>
  <si>
    <t>Art Product 217</t>
  </si>
  <si>
    <t>TX-2016-129057</t>
  </si>
  <si>
    <t>CUST-45763</t>
  </si>
  <si>
    <t>PRD-392830</t>
  </si>
  <si>
    <t>Furnishings Product 121</t>
  </si>
  <si>
    <t>CA-2018-171224</t>
  </si>
  <si>
    <t>CUST-40780</t>
  </si>
  <si>
    <t>Customer 2131</t>
  </si>
  <si>
    <t>PRD-210547</t>
  </si>
  <si>
    <t>CA-2018-200417</t>
  </si>
  <si>
    <t>CUST-86635</t>
  </si>
  <si>
    <t>Customer 773</t>
  </si>
  <si>
    <t>PRD-226898</t>
  </si>
  <si>
    <t>CA-2016-843795</t>
  </si>
  <si>
    <t>CUST-48867</t>
  </si>
  <si>
    <t>Customer 2324</t>
  </si>
  <si>
    <t>PRD-119667</t>
  </si>
  <si>
    <t>Binders Product 269</t>
  </si>
  <si>
    <t>US-2016-391649</t>
  </si>
  <si>
    <t>CUST-45924</t>
  </si>
  <si>
    <t>PRD-581883</t>
  </si>
  <si>
    <t>Phones Product 26</t>
  </si>
  <si>
    <t>TX-2018-616698</t>
  </si>
  <si>
    <t>CUST-17016</t>
  </si>
  <si>
    <t>Customer 2954</t>
  </si>
  <si>
    <t>PRD-507156</t>
  </si>
  <si>
    <t>Phones Product 99</t>
  </si>
  <si>
    <t>CA-2019-725914</t>
  </si>
  <si>
    <t>CUST-69838</t>
  </si>
  <si>
    <t>Customer 2819</t>
  </si>
  <si>
    <t>PRD-987060</t>
  </si>
  <si>
    <t>Bookcases Product 152</t>
  </si>
  <si>
    <t>NY-2017-688600</t>
  </si>
  <si>
    <t>CUST-65859</t>
  </si>
  <si>
    <t>Customer 4998</t>
  </si>
  <si>
    <t>PRD-469546</t>
  </si>
  <si>
    <t>Furnishings Product 192</t>
  </si>
  <si>
    <t>US-2017-116118</t>
  </si>
  <si>
    <t>CUST-23505</t>
  </si>
  <si>
    <t>PRD-362664</t>
  </si>
  <si>
    <t>Furnishings Product 283</t>
  </si>
  <si>
    <t>US-2018-831863</t>
  </si>
  <si>
    <t>CUST-40079</t>
  </si>
  <si>
    <t>Customer 3417</t>
  </si>
  <si>
    <t>PRD-912889</t>
  </si>
  <si>
    <t>Phones Product 93</t>
  </si>
  <si>
    <t>TX-2018-903357</t>
  </si>
  <si>
    <t>CUST-44285</t>
  </si>
  <si>
    <t>PRD-375050</t>
  </si>
  <si>
    <t>Labels Product 77</t>
  </si>
  <si>
    <t>US-2017-640482</t>
  </si>
  <si>
    <t>CUST-66421</t>
  </si>
  <si>
    <t>Customer 4947</t>
  </si>
  <si>
    <t>PRD-436729</t>
  </si>
  <si>
    <t>Chairs Product 227</t>
  </si>
  <si>
    <t>TX-2016-985426</t>
  </si>
  <si>
    <t>CUST-25659</t>
  </si>
  <si>
    <t>Customer 2232</t>
  </si>
  <si>
    <t>PRD-445219</t>
  </si>
  <si>
    <t>Copiers Product 162</t>
  </si>
  <si>
    <t>CA-2016-561290</t>
  </si>
  <si>
    <t>CUST-72512</t>
  </si>
  <si>
    <t>Customer 4666</t>
  </si>
  <si>
    <t>PRD-970578</t>
  </si>
  <si>
    <t>Furnishings Product 193</t>
  </si>
  <si>
    <t>CA-2019-712629</t>
  </si>
  <si>
    <t>CUST-92429</t>
  </si>
  <si>
    <t>Customer 2391</t>
  </si>
  <si>
    <t>PRD-486015</t>
  </si>
  <si>
    <t>Chairs Product 95</t>
  </si>
  <si>
    <t>NY-2019-881002</t>
  </si>
  <si>
    <t>CUST-53616</t>
  </si>
  <si>
    <t>Customer 96</t>
  </si>
  <si>
    <t>PRD-840044</t>
  </si>
  <si>
    <t>Paper Product 33</t>
  </si>
  <si>
    <t>NY-2016-938007</t>
  </si>
  <si>
    <t>CUST-18622</t>
  </si>
  <si>
    <t>Customer 432</t>
  </si>
  <si>
    <t>PRD-454146</t>
  </si>
  <si>
    <t>Phones Product 81</t>
  </si>
  <si>
    <t>US-2018-493812</t>
  </si>
  <si>
    <t>CUST-32381</t>
  </si>
  <si>
    <t>Customer 2779</t>
  </si>
  <si>
    <t>PRD-565025</t>
  </si>
  <si>
    <t>Storage Product 204</t>
  </si>
  <si>
    <t>TX-2019-295361</t>
  </si>
  <si>
    <t>CUST-35683</t>
  </si>
  <si>
    <t>Customer 1943</t>
  </si>
  <si>
    <t>PRD-633758</t>
  </si>
  <si>
    <t>Bookcases Product 226</t>
  </si>
  <si>
    <t>CA-2019-999819</t>
  </si>
  <si>
    <t>CUST-40143</t>
  </si>
  <si>
    <t>PRD-118305</t>
  </si>
  <si>
    <t>Appliances Product 117</t>
  </si>
  <si>
    <t>CA-2016-993519</t>
  </si>
  <si>
    <t>CUST-48573</t>
  </si>
  <si>
    <t>PRD-623977</t>
  </si>
  <si>
    <t>Accessories Product 281</t>
  </si>
  <si>
    <t>TX-2016-496651</t>
  </si>
  <si>
    <t>CUST-55734</t>
  </si>
  <si>
    <t>Customer 286</t>
  </si>
  <si>
    <t>PRD-121082</t>
  </si>
  <si>
    <t>US-2019-702741</t>
  </si>
  <si>
    <t>CUST-32932</t>
  </si>
  <si>
    <t>Customer 2419</t>
  </si>
  <si>
    <t>PRD-819497</t>
  </si>
  <si>
    <t>Machines Product 104</t>
  </si>
  <si>
    <t>TX-2017-578145</t>
  </si>
  <si>
    <t>CUST-83807</t>
  </si>
  <si>
    <t>Customer 4351</t>
  </si>
  <si>
    <t>PRD-918430</t>
  </si>
  <si>
    <t>Copiers Product 174</t>
  </si>
  <si>
    <t>US-2016-412764</t>
  </si>
  <si>
    <t>CUST-70161</t>
  </si>
  <si>
    <t>Customer 131</t>
  </si>
  <si>
    <t>PRD-236599</t>
  </si>
  <si>
    <t>Art Product 187</t>
  </si>
  <si>
    <t>TX-2016-748818</t>
  </si>
  <si>
    <t>CUST-58197</t>
  </si>
  <si>
    <t>Customer 1629</t>
  </si>
  <si>
    <t>PRD-129732</t>
  </si>
  <si>
    <t>CA-2016-316208</t>
  </si>
  <si>
    <t>CUST-22635</t>
  </si>
  <si>
    <t>PRD-454846</t>
  </si>
  <si>
    <t>Phones Product 210</t>
  </si>
  <si>
    <t>CA-2017-979067</t>
  </si>
  <si>
    <t>CUST-39370</t>
  </si>
  <si>
    <t>PRD-543145</t>
  </si>
  <si>
    <t>Paper Product 131</t>
  </si>
  <si>
    <t>CA-2019-314480</t>
  </si>
  <si>
    <t>CUST-70306</t>
  </si>
  <si>
    <t>PRD-281237</t>
  </si>
  <si>
    <t>CA-2018-872388</t>
  </si>
  <si>
    <t>CUST-39464</t>
  </si>
  <si>
    <t>Customer 4558</t>
  </si>
  <si>
    <t>PRD-538941</t>
  </si>
  <si>
    <t>Tables Product 119</t>
  </si>
  <si>
    <t>NY-2016-656292</t>
  </si>
  <si>
    <t>CUST-36662</t>
  </si>
  <si>
    <t>PRD-917303</t>
  </si>
  <si>
    <t>Accessories Product 69</t>
  </si>
  <si>
    <t>US-2019-354355</t>
  </si>
  <si>
    <t>CUST-60043</t>
  </si>
  <si>
    <t>Customer 1593</t>
  </si>
  <si>
    <t>PRD-814895</t>
  </si>
  <si>
    <t>CA-2017-170941</t>
  </si>
  <si>
    <t>CUST-83760</t>
  </si>
  <si>
    <t>Customer 4943</t>
  </si>
  <si>
    <t>PRD-131685</t>
  </si>
  <si>
    <t>Accessories Product 32</t>
  </si>
  <si>
    <t>CA-2018-938284</t>
  </si>
  <si>
    <t>CUST-86547</t>
  </si>
  <si>
    <t>Customer 4225</t>
  </si>
  <si>
    <t>PRD-278338</t>
  </si>
  <si>
    <t>US-2016-162707</t>
  </si>
  <si>
    <t>CUST-30954</t>
  </si>
  <si>
    <t>Customer 2893</t>
  </si>
  <si>
    <t>PRD-325668</t>
  </si>
  <si>
    <t>Copiers Product 73</t>
  </si>
  <si>
    <t>CA-2017-506172</t>
  </si>
  <si>
    <t>CUST-24190</t>
  </si>
  <si>
    <t>PRD-600030</t>
  </si>
  <si>
    <t>CA-2019-266029</t>
  </si>
  <si>
    <t>CUST-88387</t>
  </si>
  <si>
    <t>Customer 1018</t>
  </si>
  <si>
    <t>PRD-326022</t>
  </si>
  <si>
    <t>US-2016-380515</t>
  </si>
  <si>
    <t>CUST-44753</t>
  </si>
  <si>
    <t>Customer 4901</t>
  </si>
  <si>
    <t>PRD-481312</t>
  </si>
  <si>
    <t>Tables Product 233</t>
  </si>
  <si>
    <t>TX-2016-568531</t>
  </si>
  <si>
    <t>CUST-14755</t>
  </si>
  <si>
    <t>Customer 868</t>
  </si>
  <si>
    <t>PRD-109898</t>
  </si>
  <si>
    <t>Accessories Product 214</t>
  </si>
  <si>
    <t>NY-2016-616441</t>
  </si>
  <si>
    <t>CUST-32099</t>
  </si>
  <si>
    <t>Customer 1502</t>
  </si>
  <si>
    <t>PRD-142862</t>
  </si>
  <si>
    <t>Machines Product 135</t>
  </si>
  <si>
    <t>CA-2016-441984</t>
  </si>
  <si>
    <t>CUST-33050</t>
  </si>
  <si>
    <t>Customer 38</t>
  </si>
  <si>
    <t>PRD-931581</t>
  </si>
  <si>
    <t>Machines Product 112</t>
  </si>
  <si>
    <t>US-2019-951252</t>
  </si>
  <si>
    <t>CUST-51638</t>
  </si>
  <si>
    <t>Customer 2911</t>
  </si>
  <si>
    <t>PRD-991715</t>
  </si>
  <si>
    <t>NY-2016-205571</t>
  </si>
  <si>
    <t>CUST-20463</t>
  </si>
  <si>
    <t>Customer 3027</t>
  </si>
  <si>
    <t>PRD-282358</t>
  </si>
  <si>
    <t>Paper Product 120</t>
  </si>
  <si>
    <t>NY-2016-152927</t>
  </si>
  <si>
    <t>CUST-13204</t>
  </si>
  <si>
    <t>PRD-296502</t>
  </si>
  <si>
    <t>Bookcases Product 14</t>
  </si>
  <si>
    <t>US-2019-841402</t>
  </si>
  <si>
    <t>CUST-59735</t>
  </si>
  <si>
    <t>PRD-590469</t>
  </si>
  <si>
    <t>Labels Product 200</t>
  </si>
  <si>
    <t>TX-2016-802564</t>
  </si>
  <si>
    <t>CUST-24710</t>
  </si>
  <si>
    <t>PRD-162187</t>
  </si>
  <si>
    <t>Furnishings Product 222</t>
  </si>
  <si>
    <t>US-2018-834339</t>
  </si>
  <si>
    <t>CUST-14461</t>
  </si>
  <si>
    <t>Customer 1239</t>
  </si>
  <si>
    <t>PRD-981974</t>
  </si>
  <si>
    <t>Labels Product 282</t>
  </si>
  <si>
    <t>US-2016-928764</t>
  </si>
  <si>
    <t>CUST-66383</t>
  </si>
  <si>
    <t>Customer 449</t>
  </si>
  <si>
    <t>PRD-803150</t>
  </si>
  <si>
    <t>US-2017-899875</t>
  </si>
  <si>
    <t>CUST-22367</t>
  </si>
  <si>
    <t>Customer 3437</t>
  </si>
  <si>
    <t>PRD-278369</t>
  </si>
  <si>
    <t>Accessories Product 266</t>
  </si>
  <si>
    <t>CA-2019-188111</t>
  </si>
  <si>
    <t>CUST-32618</t>
  </si>
  <si>
    <t>Customer 4465</t>
  </si>
  <si>
    <t>PRD-804255</t>
  </si>
  <si>
    <t>Accessories Product 121</t>
  </si>
  <si>
    <t>US-2018-968585</t>
  </si>
  <si>
    <t>CUST-30330</t>
  </si>
  <si>
    <t>Customer 4984</t>
  </si>
  <si>
    <t>PRD-715331</t>
  </si>
  <si>
    <t>Chairs Product 275</t>
  </si>
  <si>
    <t>TX-2019-595209</t>
  </si>
  <si>
    <t>CUST-64362</t>
  </si>
  <si>
    <t>PRD-207874</t>
  </si>
  <si>
    <t>Art Product 107</t>
  </si>
  <si>
    <t>NY-2019-329463</t>
  </si>
  <si>
    <t>CUST-38697</t>
  </si>
  <si>
    <t>Customer 128</t>
  </si>
  <si>
    <t>PRD-333302</t>
  </si>
  <si>
    <t>Phones Product 16</t>
  </si>
  <si>
    <t>US-2017-390341</t>
  </si>
  <si>
    <t>CUST-15145</t>
  </si>
  <si>
    <t>Customer 4066</t>
  </si>
  <si>
    <t>PRD-621977</t>
  </si>
  <si>
    <t>Binders Product 263</t>
  </si>
  <si>
    <t>NY-2016-890770</t>
  </si>
  <si>
    <t>CUST-37189</t>
  </si>
  <si>
    <t>Customer 2271</t>
  </si>
  <si>
    <t>PRD-253941</t>
  </si>
  <si>
    <t>Copiers Product 179</t>
  </si>
  <si>
    <t>TX-2018-839511</t>
  </si>
  <si>
    <t>CUST-97022</t>
  </si>
  <si>
    <t>Customer 2860</t>
  </si>
  <si>
    <t>PRD-256176</t>
  </si>
  <si>
    <t>Copiers Product 296</t>
  </si>
  <si>
    <t>US-2018-967124</t>
  </si>
  <si>
    <t>CUST-92800</t>
  </si>
  <si>
    <t>Customer 1208</t>
  </si>
  <si>
    <t>PRD-885504</t>
  </si>
  <si>
    <t>Phones Product 285</t>
  </si>
  <si>
    <t>CA-2019-830230</t>
  </si>
  <si>
    <t>CUST-25555</t>
  </si>
  <si>
    <t>PRD-237814</t>
  </si>
  <si>
    <t>Labels Product 220</t>
  </si>
  <si>
    <t>NY-2016-392040</t>
  </si>
  <si>
    <t>CUST-21510</t>
  </si>
  <si>
    <t>Customer 1111</t>
  </si>
  <si>
    <t>PRD-815600</t>
  </si>
  <si>
    <t>Chairs Product 152</t>
  </si>
  <si>
    <t>TX-2017-216774</t>
  </si>
  <si>
    <t>CUST-45125</t>
  </si>
  <si>
    <t>PRD-224656</t>
  </si>
  <si>
    <t>Tables Product 199</t>
  </si>
  <si>
    <t>TX-2019-547979</t>
  </si>
  <si>
    <t>CUST-16464</t>
  </si>
  <si>
    <t>Customer 4186</t>
  </si>
  <si>
    <t>PRD-343611</t>
  </si>
  <si>
    <t>Labels Product 100</t>
  </si>
  <si>
    <t>NY-2016-240967</t>
  </si>
  <si>
    <t>CUST-36258</t>
  </si>
  <si>
    <t>Customer 4426</t>
  </si>
  <si>
    <t>PRD-772468</t>
  </si>
  <si>
    <t>Machines Product 3</t>
  </si>
  <si>
    <t>CA-2017-556248</t>
  </si>
  <si>
    <t>CUST-34937</t>
  </si>
  <si>
    <t>Customer 3879</t>
  </si>
  <si>
    <t>PRD-219196</t>
  </si>
  <si>
    <t>Tables Product 139</t>
  </si>
  <si>
    <t>CA-2017-982712</t>
  </si>
  <si>
    <t>CUST-88187</t>
  </si>
  <si>
    <t>PRD-622285</t>
  </si>
  <si>
    <t>Phones Product 40</t>
  </si>
  <si>
    <t>CA-2017-384045</t>
  </si>
  <si>
    <t>CUST-60697</t>
  </si>
  <si>
    <t>Customer 1237</t>
  </si>
  <si>
    <t>PRD-385372</t>
  </si>
  <si>
    <t>Accessories Product 161</t>
  </si>
  <si>
    <t>US-2019-437159</t>
  </si>
  <si>
    <t>CUST-65729</t>
  </si>
  <si>
    <t>Customer 3209</t>
  </si>
  <si>
    <t>PRD-786522</t>
  </si>
  <si>
    <t>Copiers Product 36</t>
  </si>
  <si>
    <t>NY-2016-699787</t>
  </si>
  <si>
    <t>CUST-87143</t>
  </si>
  <si>
    <t>PRD-299460</t>
  </si>
  <si>
    <t>Binders Product 237</t>
  </si>
  <si>
    <t>TX-2018-647309</t>
  </si>
  <si>
    <t>CUST-90015</t>
  </si>
  <si>
    <t>Customer 1659</t>
  </si>
  <si>
    <t>PRD-695859</t>
  </si>
  <si>
    <t>Copiers Product 91</t>
  </si>
  <si>
    <t>US-2019-365577</t>
  </si>
  <si>
    <t>CUST-30733</t>
  </si>
  <si>
    <t>Customer 2506</t>
  </si>
  <si>
    <t>PRD-300412</t>
  </si>
  <si>
    <t>NY-2016-810242</t>
  </si>
  <si>
    <t>CUST-89122</t>
  </si>
  <si>
    <t>Customer 4994</t>
  </si>
  <si>
    <t>PRD-698202</t>
  </si>
  <si>
    <t>Art Product 151</t>
  </si>
  <si>
    <t>TX-2018-246757</t>
  </si>
  <si>
    <t>CUST-43747</t>
  </si>
  <si>
    <t>Customer 2152</t>
  </si>
  <si>
    <t>PRD-669301</t>
  </si>
  <si>
    <t>Art Product 264</t>
  </si>
  <si>
    <t>NY-2018-610727</t>
  </si>
  <si>
    <t>CUST-99885</t>
  </si>
  <si>
    <t>Customer 2945</t>
  </si>
  <si>
    <t>PRD-720534</t>
  </si>
  <si>
    <t>NY-2018-963002</t>
  </si>
  <si>
    <t>CUST-38808</t>
  </si>
  <si>
    <t>Customer 4459</t>
  </si>
  <si>
    <t>PRD-349845</t>
  </si>
  <si>
    <t>Copiers Product 258</t>
  </si>
  <si>
    <t>NY-2017-311663</t>
  </si>
  <si>
    <t>CUST-91833</t>
  </si>
  <si>
    <t>Customer 2165</t>
  </si>
  <si>
    <t>PRD-756698</t>
  </si>
  <si>
    <t>Appliances Product 183</t>
  </si>
  <si>
    <t>TX-2019-159544</t>
  </si>
  <si>
    <t>CUST-45737</t>
  </si>
  <si>
    <t>Customer 2686</t>
  </si>
  <si>
    <t>PRD-170892</t>
  </si>
  <si>
    <t>Machines Product 20</t>
  </si>
  <si>
    <t>NY-2017-849031</t>
  </si>
  <si>
    <t>CUST-93344</t>
  </si>
  <si>
    <t>Customer 4272</t>
  </si>
  <si>
    <t>PRD-847024</t>
  </si>
  <si>
    <t>Binders Product 234</t>
  </si>
  <si>
    <t>NY-2019-732660</t>
  </si>
  <si>
    <t>CUST-98056</t>
  </si>
  <si>
    <t>Customer 986</t>
  </si>
  <si>
    <t>PRD-699014</t>
  </si>
  <si>
    <t>Labels Product 51</t>
  </si>
  <si>
    <t>CA-2019-975631</t>
  </si>
  <si>
    <t>CUST-75710</t>
  </si>
  <si>
    <t>Customer 176</t>
  </si>
  <si>
    <t>PRD-687242</t>
  </si>
  <si>
    <t>Tables Product 19</t>
  </si>
  <si>
    <t>CA-2019-504721</t>
  </si>
  <si>
    <t>CUST-41157</t>
  </si>
  <si>
    <t>Customer 2673</t>
  </si>
  <si>
    <t>PRD-224056</t>
  </si>
  <si>
    <t>Paper Product 234</t>
  </si>
  <si>
    <t>US-2019-448958</t>
  </si>
  <si>
    <t>CUST-13377</t>
  </si>
  <si>
    <t>Customer 2973</t>
  </si>
  <si>
    <t>PRD-703256</t>
  </si>
  <si>
    <t>CA-2018-290187</t>
  </si>
  <si>
    <t>Customer 1081</t>
  </si>
  <si>
    <t>PRD-450451</t>
  </si>
  <si>
    <t>TX-2017-572589</t>
  </si>
  <si>
    <t>CUST-48517</t>
  </si>
  <si>
    <t>Customer 3017</t>
  </si>
  <si>
    <t>PRD-669518</t>
  </si>
  <si>
    <t>Binders Product 276</t>
  </si>
  <si>
    <t>TX-2017-401976</t>
  </si>
  <si>
    <t>CUST-83809</t>
  </si>
  <si>
    <t>Customer 3219</t>
  </si>
  <si>
    <t>PRD-790932</t>
  </si>
  <si>
    <t>Machines Product 113</t>
  </si>
  <si>
    <t>TX-2019-751832</t>
  </si>
  <si>
    <t>CUST-87605</t>
  </si>
  <si>
    <t>PRD-962194</t>
  </si>
  <si>
    <t>Copiers Product 58</t>
  </si>
  <si>
    <t>TX-2016-616850</t>
  </si>
  <si>
    <t>Customer 4391</t>
  </si>
  <si>
    <t>PRD-956779</t>
  </si>
  <si>
    <t>CA-2019-165167</t>
  </si>
  <si>
    <t>CUST-34974</t>
  </si>
  <si>
    <t>Customer 1369</t>
  </si>
  <si>
    <t>PRD-516042</t>
  </si>
  <si>
    <t>Storage Product 259</t>
  </si>
  <si>
    <t>US-2016-939464</t>
  </si>
  <si>
    <t>CUST-71228</t>
  </si>
  <si>
    <t>Customer 2153</t>
  </si>
  <si>
    <t>PRD-435077</t>
  </si>
  <si>
    <t>Furnishings Product 27</t>
  </si>
  <si>
    <t>NY-2019-172691</t>
  </si>
  <si>
    <t>CUST-87102</t>
  </si>
  <si>
    <t>Customer 4418</t>
  </si>
  <si>
    <t>PRD-548261</t>
  </si>
  <si>
    <t>Labels Product 119</t>
  </si>
  <si>
    <t>CA-2016-852108</t>
  </si>
  <si>
    <t>CUST-64138</t>
  </si>
  <si>
    <t>Customer 3270</t>
  </si>
  <si>
    <t>PRD-986374</t>
  </si>
  <si>
    <t>Chairs Product 24</t>
  </si>
  <si>
    <t>NY-2019-542294</t>
  </si>
  <si>
    <t>CUST-56969</t>
  </si>
  <si>
    <t>Customer 3360</t>
  </si>
  <si>
    <t>PRD-605728</t>
  </si>
  <si>
    <t>US-2017-566870</t>
  </si>
  <si>
    <t>CUST-23834</t>
  </si>
  <si>
    <t>Customer 547</t>
  </si>
  <si>
    <t>PRD-632894</t>
  </si>
  <si>
    <t>Bookcases Product 195</t>
  </si>
  <si>
    <t>US-2019-232195</t>
  </si>
  <si>
    <t>CUST-68421</t>
  </si>
  <si>
    <t>Customer 1798</t>
  </si>
  <si>
    <t>PRD-912191</t>
  </si>
  <si>
    <t>Labels Product 243</t>
  </si>
  <si>
    <t>CA-2016-550069</t>
  </si>
  <si>
    <t>CUST-52571</t>
  </si>
  <si>
    <t>Customer 1450</t>
  </si>
  <si>
    <t>PRD-365553</t>
  </si>
  <si>
    <t>Appliances Product 94</t>
  </si>
  <si>
    <t>NY-2016-717244</t>
  </si>
  <si>
    <t>CUST-72859</t>
  </si>
  <si>
    <t>Customer 3327</t>
  </si>
  <si>
    <t>PRD-761231</t>
  </si>
  <si>
    <t>Appliances Product 142</t>
  </si>
  <si>
    <t>US-2017-836758</t>
  </si>
  <si>
    <t>CUST-32664</t>
  </si>
  <si>
    <t>Customer 3816</t>
  </si>
  <si>
    <t>PRD-385646</t>
  </si>
  <si>
    <t>CA-2019-228999</t>
  </si>
  <si>
    <t>CUST-11810</t>
  </si>
  <si>
    <t>Customer 1941</t>
  </si>
  <si>
    <t>PRD-332193</t>
  </si>
  <si>
    <t>Machines Product 139</t>
  </si>
  <si>
    <t>NY-2018-953804</t>
  </si>
  <si>
    <t>CUST-84205</t>
  </si>
  <si>
    <t>Customer 1304</t>
  </si>
  <si>
    <t>PRD-342247</t>
  </si>
  <si>
    <t>Labels Product 69</t>
  </si>
  <si>
    <t>TX-2017-225390</t>
  </si>
  <si>
    <t>CUST-59524</t>
  </si>
  <si>
    <t>Customer 2899</t>
  </si>
  <si>
    <t>PRD-555988</t>
  </si>
  <si>
    <t>CA-2016-644300</t>
  </si>
  <si>
    <t>CUST-64745</t>
  </si>
  <si>
    <t>Customer 2195</t>
  </si>
  <si>
    <t>PRD-566735</t>
  </si>
  <si>
    <t>Copiers Product 207</t>
  </si>
  <si>
    <t>TX-2016-330898</t>
  </si>
  <si>
    <t>CUST-88313</t>
  </si>
  <si>
    <t>Customer 357</t>
  </si>
  <si>
    <t>PRD-998119</t>
  </si>
  <si>
    <t>Accessories Product 274</t>
  </si>
  <si>
    <t>CA-2016-841112</t>
  </si>
  <si>
    <t>CUST-49899</t>
  </si>
  <si>
    <t>Customer 1196</t>
  </si>
  <si>
    <t>PRD-894978</t>
  </si>
  <si>
    <t>Furnishings Product 263</t>
  </si>
  <si>
    <t>US-2019-854864</t>
  </si>
  <si>
    <t>CUST-35061</t>
  </si>
  <si>
    <t>Customer 3495</t>
  </si>
  <si>
    <t>PRD-376963</t>
  </si>
  <si>
    <t>Copiers Product 248</t>
  </si>
  <si>
    <t>NY-2019-757148</t>
  </si>
  <si>
    <t>CUST-99407</t>
  </si>
  <si>
    <t>PRD-841093</t>
  </si>
  <si>
    <t>Furnishings Product 289</t>
  </si>
  <si>
    <t>CA-2018-867848</t>
  </si>
  <si>
    <t>CUST-20828</t>
  </si>
  <si>
    <t>Customer 1193</t>
  </si>
  <si>
    <t>PRD-366562</t>
  </si>
  <si>
    <t>Accessories Product 261</t>
  </si>
  <si>
    <t>CA-2018-464544</t>
  </si>
  <si>
    <t>CUST-32721</t>
  </si>
  <si>
    <t>PRD-429224</t>
  </si>
  <si>
    <t>Paper Product 10</t>
  </si>
  <si>
    <t>US-2019-555318</t>
  </si>
  <si>
    <t>CUST-44410</t>
  </si>
  <si>
    <t>PRD-263501</t>
  </si>
  <si>
    <t>Chairs Product 66</t>
  </si>
  <si>
    <t>TX-2019-176345</t>
  </si>
  <si>
    <t>CUST-51896</t>
  </si>
  <si>
    <t>Customer 2501</t>
  </si>
  <si>
    <t>PRD-175397</t>
  </si>
  <si>
    <t>Copiers Product 35</t>
  </si>
  <si>
    <t>CA-2018-908661</t>
  </si>
  <si>
    <t>CUST-52274</t>
  </si>
  <si>
    <t>Customer 1480</t>
  </si>
  <si>
    <t>PRD-831341</t>
  </si>
  <si>
    <t>Paper Product 124</t>
  </si>
  <si>
    <t>TX-2018-536795</t>
  </si>
  <si>
    <t>CUST-54854</t>
  </si>
  <si>
    <t>Customer 2455</t>
  </si>
  <si>
    <t>PRD-609366</t>
  </si>
  <si>
    <t>CA-2016-459429</t>
  </si>
  <si>
    <t>CUST-50365</t>
  </si>
  <si>
    <t>Customer 347</t>
  </si>
  <si>
    <t>PRD-321525</t>
  </si>
  <si>
    <t>CA-2016-460377</t>
  </si>
  <si>
    <t>CUST-80374</t>
  </si>
  <si>
    <t>Customer 3880</t>
  </si>
  <si>
    <t>PRD-875503</t>
  </si>
  <si>
    <t>NY-2019-434529</t>
  </si>
  <si>
    <t>CUST-59787</t>
  </si>
  <si>
    <t>Customer 4409</t>
  </si>
  <si>
    <t>PRD-838881</t>
  </si>
  <si>
    <t>US-2016-223362</t>
  </si>
  <si>
    <t>CUST-54373</t>
  </si>
  <si>
    <t>Customer 3700</t>
  </si>
  <si>
    <t>PRD-375001</t>
  </si>
  <si>
    <t>Bookcases Product 275</t>
  </si>
  <si>
    <t>US-2018-207843</t>
  </si>
  <si>
    <t>CUST-66886</t>
  </si>
  <si>
    <t>Customer 498</t>
  </si>
  <si>
    <t>PRD-502520</t>
  </si>
  <si>
    <t>Chairs Product 133</t>
  </si>
  <si>
    <t>CA-2017-939727</t>
  </si>
  <si>
    <t>CUST-52498</t>
  </si>
  <si>
    <t>Customer 4067</t>
  </si>
  <si>
    <t>PRD-514231</t>
  </si>
  <si>
    <t>TX-2017-468764</t>
  </si>
  <si>
    <t>CUST-97457</t>
  </si>
  <si>
    <t>Customer 4188</t>
  </si>
  <si>
    <t>PRD-441137</t>
  </si>
  <si>
    <t>Tables Product 15</t>
  </si>
  <si>
    <t>NY-2019-173235</t>
  </si>
  <si>
    <t>CUST-54279</t>
  </si>
  <si>
    <t>Customer 772</t>
  </si>
  <si>
    <t>PRD-829952</t>
  </si>
  <si>
    <t>Paper Product 296</t>
  </si>
  <si>
    <t>CA-2016-949226</t>
  </si>
  <si>
    <t>CUST-22401</t>
  </si>
  <si>
    <t>Customer 17</t>
  </si>
  <si>
    <t>PRD-987913</t>
  </si>
  <si>
    <t>Paper Product 147</t>
  </si>
  <si>
    <t>CA-2019-184682</t>
  </si>
  <si>
    <t>CUST-98744</t>
  </si>
  <si>
    <t>Customer 2311</t>
  </si>
  <si>
    <t>PRD-276303</t>
  </si>
  <si>
    <t>Machines Product 209</t>
  </si>
  <si>
    <t>US-2016-409317</t>
  </si>
  <si>
    <t>CUST-67961</t>
  </si>
  <si>
    <t>Customer 1993</t>
  </si>
  <si>
    <t>PRD-102798</t>
  </si>
  <si>
    <t>Bookcases Product 114</t>
  </si>
  <si>
    <t>NY-2018-256038</t>
  </si>
  <si>
    <t>CUST-17236</t>
  </si>
  <si>
    <t>Customer 1137</t>
  </si>
  <si>
    <t>PRD-961482</t>
  </si>
  <si>
    <t>US-2017-852416</t>
  </si>
  <si>
    <t>CUST-49870</t>
  </si>
  <si>
    <t>Customer 1192</t>
  </si>
  <si>
    <t>PRD-245757</t>
  </si>
  <si>
    <t>Machines Product 150</t>
  </si>
  <si>
    <t>US-2017-178328</t>
  </si>
  <si>
    <t>CUST-87633</t>
  </si>
  <si>
    <t>Customer 4651</t>
  </si>
  <si>
    <t>PRD-219803</t>
  </si>
  <si>
    <t>Bookcases Product 177</t>
  </si>
  <si>
    <t>US-2016-855431</t>
  </si>
  <si>
    <t>CUST-15366</t>
  </si>
  <si>
    <t>Customer 2185</t>
  </si>
  <si>
    <t>PRD-121935</t>
  </si>
  <si>
    <t>Binders Product 247</t>
  </si>
  <si>
    <t>NY-2016-117329</t>
  </si>
  <si>
    <t>CUST-98776</t>
  </si>
  <si>
    <t>PRD-116500</t>
  </si>
  <si>
    <t>Chairs Product 104</t>
  </si>
  <si>
    <t>US-2018-991658</t>
  </si>
  <si>
    <t>CUST-19286</t>
  </si>
  <si>
    <t>PRD-685648</t>
  </si>
  <si>
    <t>TX-2018-578501</t>
  </si>
  <si>
    <t>CUST-76026</t>
  </si>
  <si>
    <t>Customer 2806</t>
  </si>
  <si>
    <t>PRD-250947</t>
  </si>
  <si>
    <t>TX-2017-901518</t>
  </si>
  <si>
    <t>CUST-76469</t>
  </si>
  <si>
    <t>Customer 32</t>
  </si>
  <si>
    <t>PRD-213034</t>
  </si>
  <si>
    <t>Tables Product 1</t>
  </si>
  <si>
    <t>NY-2016-505639</t>
  </si>
  <si>
    <t>CUST-54621</t>
  </si>
  <si>
    <t>PRD-428795</t>
  </si>
  <si>
    <t>Bookcases Product 60</t>
  </si>
  <si>
    <t>CA-2019-183325</t>
  </si>
  <si>
    <t>CUST-30700</t>
  </si>
  <si>
    <t>Customer 4886</t>
  </si>
  <si>
    <t>PRD-715438</t>
  </si>
  <si>
    <t>Chairs Product 300</t>
  </si>
  <si>
    <t>US-2019-271119</t>
  </si>
  <si>
    <t>CUST-45474</t>
  </si>
  <si>
    <t>Customer 4236</t>
  </si>
  <si>
    <t>PRD-100253</t>
  </si>
  <si>
    <t>Copiers Product 260</t>
  </si>
  <si>
    <t>US-2017-279239</t>
  </si>
  <si>
    <t>CUST-77382</t>
  </si>
  <si>
    <t>Customer 962</t>
  </si>
  <si>
    <t>PRD-830003</t>
  </si>
  <si>
    <t>Machines Product 126</t>
  </si>
  <si>
    <t>US-2018-885850</t>
  </si>
  <si>
    <t>CUST-54513</t>
  </si>
  <si>
    <t>Customer 2523</t>
  </si>
  <si>
    <t>PRD-990015</t>
  </si>
  <si>
    <t>TX-2019-337575</t>
  </si>
  <si>
    <t>CUST-54695</t>
  </si>
  <si>
    <t>Customer 274</t>
  </si>
  <si>
    <t>PRD-854404</t>
  </si>
  <si>
    <t>US-2017-233760</t>
  </si>
  <si>
    <t>CUST-78145</t>
  </si>
  <si>
    <t>PRD-355226</t>
  </si>
  <si>
    <t>Binders Product 249</t>
  </si>
  <si>
    <t>US-2018-735029</t>
  </si>
  <si>
    <t>CUST-85290</t>
  </si>
  <si>
    <t>PRD-120217</t>
  </si>
  <si>
    <t>US-2018-669563</t>
  </si>
  <si>
    <t>CUST-74055</t>
  </si>
  <si>
    <t>PRD-352682</t>
  </si>
  <si>
    <t>CA-2018-887273</t>
  </si>
  <si>
    <t>CUST-49736</t>
  </si>
  <si>
    <t>Customer 1545</t>
  </si>
  <si>
    <t>PRD-904014</t>
  </si>
  <si>
    <t>Copiers Product 294</t>
  </si>
  <si>
    <t>NY-2018-622487</t>
  </si>
  <si>
    <t>CUST-48528</t>
  </si>
  <si>
    <t>Customer 15</t>
  </si>
  <si>
    <t>PRD-779624</t>
  </si>
  <si>
    <t>CA-2017-787140</t>
  </si>
  <si>
    <t>CUST-73835</t>
  </si>
  <si>
    <t>PRD-951508</t>
  </si>
  <si>
    <t>Chairs Product 164</t>
  </si>
  <si>
    <t>TX-2017-335807</t>
  </si>
  <si>
    <t>CUST-28678</t>
  </si>
  <si>
    <t>Customer 3262</t>
  </si>
  <si>
    <t>PRD-765239</t>
  </si>
  <si>
    <t>NY-2019-950879</t>
  </si>
  <si>
    <t>CUST-55909</t>
  </si>
  <si>
    <t>Customer 4731</t>
  </si>
  <si>
    <t>PRD-129626</t>
  </si>
  <si>
    <t>Accessories Product 256</t>
  </si>
  <si>
    <t>TX-2018-373807</t>
  </si>
  <si>
    <t>CUST-26818</t>
  </si>
  <si>
    <t>PRD-462358</t>
  </si>
  <si>
    <t>Chairs Product 233</t>
  </si>
  <si>
    <t>TX-2016-884913</t>
  </si>
  <si>
    <t>CUST-51190</t>
  </si>
  <si>
    <t>Customer 2705</t>
  </si>
  <si>
    <t>PRD-132353</t>
  </si>
  <si>
    <t>Furnishings Product 167</t>
  </si>
  <si>
    <t>NY-2016-826941</t>
  </si>
  <si>
    <t>CUST-51361</t>
  </si>
  <si>
    <t>Customer 403</t>
  </si>
  <si>
    <t>PRD-132985</t>
  </si>
  <si>
    <t>Accessories Product 278</t>
  </si>
  <si>
    <t>TX-2017-827333</t>
  </si>
  <si>
    <t>CUST-91229</t>
  </si>
  <si>
    <t>Customer 73</t>
  </si>
  <si>
    <t>PRD-396140</t>
  </si>
  <si>
    <t>Labels Product 163</t>
  </si>
  <si>
    <t>NY-2017-293509</t>
  </si>
  <si>
    <t>CUST-28465</t>
  </si>
  <si>
    <t>Customer 3298</t>
  </si>
  <si>
    <t>PRD-770196</t>
  </si>
  <si>
    <t>US-2018-133726</t>
  </si>
  <si>
    <t>CUST-82307</t>
  </si>
  <si>
    <t>Customer 3588</t>
  </si>
  <si>
    <t>PRD-164439</t>
  </si>
  <si>
    <t>TX-2016-164391</t>
  </si>
  <si>
    <t>CUST-52237</t>
  </si>
  <si>
    <t>Customer 1236</t>
  </si>
  <si>
    <t>PRD-762679</t>
  </si>
  <si>
    <t>Labels Product 263</t>
  </si>
  <si>
    <t>NY-2016-653632</t>
  </si>
  <si>
    <t>CUST-44632</t>
  </si>
  <si>
    <t>Customer 4493</t>
  </si>
  <si>
    <t>PRD-993038</t>
  </si>
  <si>
    <t>Copiers Product 115</t>
  </si>
  <si>
    <t>CA-2017-387034</t>
  </si>
  <si>
    <t>CUST-51792</t>
  </si>
  <si>
    <t>Customer 1704</t>
  </si>
  <si>
    <t>PRD-902723</t>
  </si>
  <si>
    <t>Storage Product 148</t>
  </si>
  <si>
    <t>TX-2016-645387</t>
  </si>
  <si>
    <t>CUST-42331</t>
  </si>
  <si>
    <t>PRD-957892</t>
  </si>
  <si>
    <t>Copiers Product 265</t>
  </si>
  <si>
    <t>NY-2016-394077</t>
  </si>
  <si>
    <t>CUST-89720</t>
  </si>
  <si>
    <t>Customer 4591</t>
  </si>
  <si>
    <t>PRD-190850</t>
  </si>
  <si>
    <t>Phones Product 150</t>
  </si>
  <si>
    <t>US-2018-355948</t>
  </si>
  <si>
    <t>CUST-89532</t>
  </si>
  <si>
    <t>Customer 2640</t>
  </si>
  <si>
    <t>PRD-149928</t>
  </si>
  <si>
    <t>Furnishings Product 57</t>
  </si>
  <si>
    <t>NY-2019-158007</t>
  </si>
  <si>
    <t>CUST-45486</t>
  </si>
  <si>
    <t>PRD-176648</t>
  </si>
  <si>
    <t>Tables Product 153</t>
  </si>
  <si>
    <t>TX-2016-718305</t>
  </si>
  <si>
    <t>CUST-15844</t>
  </si>
  <si>
    <t>Customer 3835</t>
  </si>
  <si>
    <t>PRD-433463</t>
  </si>
  <si>
    <t>Chairs Product 171</t>
  </si>
  <si>
    <t>TX-2019-134881</t>
  </si>
  <si>
    <t>CUST-52823</t>
  </si>
  <si>
    <t>PRD-234324</t>
  </si>
  <si>
    <t>Paper Product 91</t>
  </si>
  <si>
    <t>US-2019-362227</t>
  </si>
  <si>
    <t>CUST-10639</t>
  </si>
  <si>
    <t>PRD-204761</t>
  </si>
  <si>
    <t>Art Product 86</t>
  </si>
  <si>
    <t>US-2019-155895</t>
  </si>
  <si>
    <t>CUST-73851</t>
  </si>
  <si>
    <t>PRD-322777</t>
  </si>
  <si>
    <t>TX-2017-799816</t>
  </si>
  <si>
    <t>CUST-40145</t>
  </si>
  <si>
    <t>Customer 4799</t>
  </si>
  <si>
    <t>PRD-409700</t>
  </si>
  <si>
    <t>Art Product 269</t>
  </si>
  <si>
    <t>TX-2017-339715</t>
  </si>
  <si>
    <t>CUST-47519</t>
  </si>
  <si>
    <t>Customer 3125</t>
  </si>
  <si>
    <t>PRD-407051</t>
  </si>
  <si>
    <t>Phones Product 94</t>
  </si>
  <si>
    <t>NY-2017-515259</t>
  </si>
  <si>
    <t>CUST-76598</t>
  </si>
  <si>
    <t>PRD-769344</t>
  </si>
  <si>
    <t>Machines Product 78</t>
  </si>
  <si>
    <t>CA-2016-423801</t>
  </si>
  <si>
    <t>CUST-21344</t>
  </si>
  <si>
    <t>Customer 4552</t>
  </si>
  <si>
    <t>PRD-409667</t>
  </si>
  <si>
    <t>TX-2017-451992</t>
  </si>
  <si>
    <t>CUST-69642</t>
  </si>
  <si>
    <t>PRD-402101</t>
  </si>
  <si>
    <t>Copiers Product 226</t>
  </si>
  <si>
    <t>CA-2019-658198</t>
  </si>
  <si>
    <t>CUST-79499</t>
  </si>
  <si>
    <t>Customer 1034</t>
  </si>
  <si>
    <t>PRD-219607</t>
  </si>
  <si>
    <t>Labels Product 176</t>
  </si>
  <si>
    <t>03-25-2017</t>
  </si>
  <si>
    <t>07-21-2018</t>
  </si>
  <si>
    <t>01-14-2016</t>
  </si>
  <si>
    <t>02-23-2018</t>
  </si>
  <si>
    <t>10-15-2018</t>
  </si>
  <si>
    <t>04-18-2019</t>
  </si>
  <si>
    <t>05-19-2019</t>
  </si>
  <si>
    <t>10-25-2017</t>
  </si>
  <si>
    <t>11-27-2018</t>
  </si>
  <si>
    <t>12-27-2019</t>
  </si>
  <si>
    <t>01-23-2018</t>
  </si>
  <si>
    <t>10-24-2018</t>
  </si>
  <si>
    <t>03-24-2016</t>
  </si>
  <si>
    <t>04-24-2017</t>
  </si>
  <si>
    <t>04-21-2019</t>
  </si>
  <si>
    <t>04-22-2019</t>
  </si>
  <si>
    <t>08-22-2019</t>
  </si>
  <si>
    <t>10-29-2016</t>
  </si>
  <si>
    <t>05-24-2016</t>
  </si>
  <si>
    <t>05-31-2017</t>
  </si>
  <si>
    <t>02-28-2016</t>
  </si>
  <si>
    <t>06-20-2017</t>
  </si>
  <si>
    <t>12-13-2016</t>
  </si>
  <si>
    <t>01-18-2017</t>
  </si>
  <si>
    <t>08-30-2016</t>
  </si>
  <si>
    <t>11-23-2017</t>
  </si>
  <si>
    <t>06-19-2016</t>
  </si>
  <si>
    <t>08-29-2016</t>
  </si>
  <si>
    <t>10-23-2018</t>
  </si>
  <si>
    <t>12-16-2017</t>
  </si>
  <si>
    <t>04-26-2016</t>
  </si>
  <si>
    <t>06-29-2019</t>
  </si>
  <si>
    <t>02-25-2019</t>
  </si>
  <si>
    <t>12-18-2018</t>
  </si>
  <si>
    <t>01-22-2016</t>
  </si>
  <si>
    <t>05-23-2018</t>
  </si>
  <si>
    <t>05-29-2016</t>
  </si>
  <si>
    <t>04-27-2019</t>
  </si>
  <si>
    <t>06-16-2016</t>
  </si>
  <si>
    <t>07-15-2018</t>
  </si>
  <si>
    <t>12-19-2016</t>
  </si>
  <si>
    <t>08-21-2016</t>
  </si>
  <si>
    <t>08-19-2018</t>
  </si>
  <si>
    <t>12-20-2017</t>
  </si>
  <si>
    <t>11-30-2019</t>
  </si>
  <si>
    <t>12-14-2019</t>
  </si>
  <si>
    <t>11-25-2018</t>
  </si>
  <si>
    <t>01-21-2017</t>
  </si>
  <si>
    <t>03-16-2016</t>
  </si>
  <si>
    <t>12-27-2018</t>
  </si>
  <si>
    <t>09-18-2018</t>
  </si>
  <si>
    <t>08-22-2017</t>
  </si>
  <si>
    <t>12-13-2018</t>
  </si>
  <si>
    <t>07-30-2019</t>
  </si>
  <si>
    <t>09-28-2019</t>
  </si>
  <si>
    <t>07-17-2017</t>
  </si>
  <si>
    <t>07-25-2016</t>
  </si>
  <si>
    <t>01-29-2019</t>
  </si>
  <si>
    <t>10-31-2016</t>
  </si>
  <si>
    <t>04-24-2018</t>
  </si>
  <si>
    <t>01-31-2019</t>
  </si>
  <si>
    <t>10-23-2019</t>
  </si>
  <si>
    <t>01-19-2017</t>
  </si>
  <si>
    <t>08-29-2018</t>
  </si>
  <si>
    <t>05-16-2017</t>
  </si>
  <si>
    <t>06-27-2018</t>
  </si>
  <si>
    <t>04-13-2018</t>
  </si>
  <si>
    <t>08-15-2019</t>
  </si>
  <si>
    <t>10-29-2018</t>
  </si>
  <si>
    <t>12-21-2016</t>
  </si>
  <si>
    <t>10-13-2018</t>
  </si>
  <si>
    <t>02-25-2018</t>
  </si>
  <si>
    <t>03-28-2018</t>
  </si>
  <si>
    <t>05-16-2016</t>
  </si>
  <si>
    <t>06-18-2018</t>
  </si>
  <si>
    <t>11-17-2019</t>
  </si>
  <si>
    <t>06-20-2018</t>
  </si>
  <si>
    <t>04-27-2017</t>
  </si>
  <si>
    <t>07-19-2019</t>
  </si>
  <si>
    <t>01-14-2018</t>
  </si>
  <si>
    <t>07-15-2019</t>
  </si>
  <si>
    <t>07-13-2016</t>
  </si>
  <si>
    <t>01-26-2019</t>
  </si>
  <si>
    <t>01-29-2017</t>
  </si>
  <si>
    <t>08-20-2018</t>
  </si>
  <si>
    <t>01-30-2016</t>
  </si>
  <si>
    <t>04-18-2017</t>
  </si>
  <si>
    <t>06-29-2016</t>
  </si>
  <si>
    <t>12-14-2017</t>
  </si>
  <si>
    <t>12-26-2018</t>
  </si>
  <si>
    <t>06-30-2019</t>
  </si>
  <si>
    <t>07-17-2016</t>
  </si>
  <si>
    <t>10-25-2019</t>
  </si>
  <si>
    <t>06-20-2016</t>
  </si>
  <si>
    <t>10-25-2018</t>
  </si>
  <si>
    <t>02-25-2016</t>
  </si>
  <si>
    <t>10-17-2016</t>
  </si>
  <si>
    <t>03-26-2018</t>
  </si>
  <si>
    <t>02-16-2018</t>
  </si>
  <si>
    <t>03-30-2016</t>
  </si>
  <si>
    <t>05-27-2018</t>
  </si>
  <si>
    <t>09-22-2018</t>
  </si>
  <si>
    <t>10-21-2017</t>
  </si>
  <si>
    <t>05-24-2019</t>
  </si>
  <si>
    <t>03-15-2017</t>
  </si>
  <si>
    <t>06-18-2017</t>
  </si>
  <si>
    <t>11-13-2016</t>
  </si>
  <si>
    <t>04-15-2018</t>
  </si>
  <si>
    <t>09-22-2019</t>
  </si>
  <si>
    <t>11-20-2017</t>
  </si>
  <si>
    <t>04-18-2016</t>
  </si>
  <si>
    <t>07-14-2019</t>
  </si>
  <si>
    <t>09-21-2016</t>
  </si>
  <si>
    <t>07-21-2019</t>
  </si>
  <si>
    <t>03-24-2017</t>
  </si>
  <si>
    <t>04-21-2018</t>
  </si>
  <si>
    <t>05-20-2017</t>
  </si>
  <si>
    <t>01-23-2016</t>
  </si>
  <si>
    <t>10-16-2016</t>
  </si>
  <si>
    <t>01-18-2016</t>
  </si>
  <si>
    <t>10-14-2018</t>
  </si>
  <si>
    <t>04-15-2016</t>
  </si>
  <si>
    <t>04-13-2019</t>
  </si>
  <si>
    <t>03-24-2019</t>
  </si>
  <si>
    <t>09-18-2017</t>
  </si>
  <si>
    <t>09-28-2018</t>
  </si>
  <si>
    <t>10-29-2019</t>
  </si>
  <si>
    <t>10-18-2019</t>
  </si>
  <si>
    <t>12-20-2016</t>
  </si>
  <si>
    <t>02-24-2016</t>
  </si>
  <si>
    <t>06-15-2016</t>
  </si>
  <si>
    <t>05-23-2019</t>
  </si>
  <si>
    <t>04-17-2019</t>
  </si>
  <si>
    <t>06-17-2017</t>
  </si>
  <si>
    <t>07-27-2017</t>
  </si>
  <si>
    <t>11-27-2017</t>
  </si>
  <si>
    <t>05-23-2017</t>
  </si>
  <si>
    <t>02-21-2017</t>
  </si>
  <si>
    <t>10-19-2018</t>
  </si>
  <si>
    <t>04-17-2018</t>
  </si>
  <si>
    <t>11-13-2017</t>
  </si>
  <si>
    <t>06-29-2018</t>
  </si>
  <si>
    <t>06-29-2017</t>
  </si>
  <si>
    <t>04-29-2018</t>
  </si>
  <si>
    <t>09-21-2019</t>
  </si>
  <si>
    <t>10-22-2018</t>
  </si>
  <si>
    <t>03-20-2017</t>
  </si>
  <si>
    <t>03-28-2016</t>
  </si>
  <si>
    <t>11-17-2016</t>
  </si>
  <si>
    <t>10-15-2016</t>
  </si>
  <si>
    <t>05-21-2017</t>
  </si>
  <si>
    <t>11-19-2018</t>
  </si>
  <si>
    <t>09-20-2016</t>
  </si>
  <si>
    <t>06-24-2018</t>
  </si>
  <si>
    <t>05-17-2018</t>
  </si>
  <si>
    <t>11-29-2016</t>
  </si>
  <si>
    <t>03-29-2017</t>
  </si>
  <si>
    <t>01-22-2018</t>
  </si>
  <si>
    <t>07-28-2017</t>
  </si>
  <si>
    <t>04-16-2016</t>
  </si>
  <si>
    <t>10-22-2016</t>
  </si>
  <si>
    <t>03-13-2018</t>
  </si>
  <si>
    <t>04-14-2017</t>
  </si>
  <si>
    <t>09-16-2019</t>
  </si>
  <si>
    <t>01-21-2018</t>
  </si>
  <si>
    <t>07-21-2017</t>
  </si>
  <si>
    <t>02-23-2019</t>
  </si>
  <si>
    <t>03-21-2017</t>
  </si>
  <si>
    <t>09-30-2019</t>
  </si>
  <si>
    <t>08-24-2018</t>
  </si>
  <si>
    <t>06-27-2016</t>
  </si>
  <si>
    <t>12-25-2017</t>
  </si>
  <si>
    <t>01-20-2016</t>
  </si>
  <si>
    <t>04-13-2017</t>
  </si>
  <si>
    <t>12-18-2019</t>
  </si>
  <si>
    <t>03-14-2019</t>
  </si>
  <si>
    <t>11-21-2017</t>
  </si>
  <si>
    <t>03-18-2016</t>
  </si>
  <si>
    <t>12-19-2019</t>
  </si>
  <si>
    <t>02-22-2018</t>
  </si>
  <si>
    <t>12-18-2016</t>
  </si>
  <si>
    <t>02-24-2017</t>
  </si>
  <si>
    <t>04-29-2017</t>
  </si>
  <si>
    <t>05-17-2017</t>
  </si>
  <si>
    <t>02-16-2017</t>
  </si>
  <si>
    <t>11-28-2019</t>
  </si>
  <si>
    <t>02-13-2019</t>
  </si>
  <si>
    <t>06-19-2017</t>
  </si>
  <si>
    <t>07-18-2019</t>
  </si>
  <si>
    <t>04-13-2016</t>
  </si>
  <si>
    <t>06-23-2016</t>
  </si>
  <si>
    <t>09-26-2017</t>
  </si>
  <si>
    <t>06-23-2017</t>
  </si>
  <si>
    <t>08-14-2017</t>
  </si>
  <si>
    <t>02-14-2017</t>
  </si>
  <si>
    <t>09-16-2017</t>
  </si>
  <si>
    <t>05-30-2019</t>
  </si>
  <si>
    <t>11-18-2017</t>
  </si>
  <si>
    <t>03-27-2016</t>
  </si>
  <si>
    <t>06-19-2018</t>
  </si>
  <si>
    <t>10-21-2016</t>
  </si>
  <si>
    <t>02-19-2016</t>
  </si>
  <si>
    <t>11-21-2016</t>
  </si>
  <si>
    <t>11-29-2018</t>
  </si>
  <si>
    <t>02-28-2017</t>
  </si>
  <si>
    <t>10-19-2017</t>
  </si>
  <si>
    <t>06-14-2018</t>
  </si>
  <si>
    <t>12-19-2018</t>
  </si>
  <si>
    <t>01-17-2018</t>
  </si>
  <si>
    <t>06-13-2018</t>
  </si>
  <si>
    <t>04-19-2017</t>
  </si>
  <si>
    <t>04-28-2019</t>
  </si>
  <si>
    <t>10-31-2019</t>
  </si>
  <si>
    <t>12-15-2017</t>
  </si>
  <si>
    <t>01-27-2019</t>
  </si>
  <si>
    <t>06-16-2018</t>
  </si>
  <si>
    <t>10-20-2017</t>
  </si>
  <si>
    <t>09-15-2016</t>
  </si>
  <si>
    <t>01-25-2018</t>
  </si>
  <si>
    <t>06-28-2016</t>
  </si>
  <si>
    <t>02-13-2018</t>
  </si>
  <si>
    <t>05-19-2018</t>
  </si>
  <si>
    <t>03-25-2018</t>
  </si>
  <si>
    <t>01-28-2019</t>
  </si>
  <si>
    <t>10-17-2017</t>
  </si>
  <si>
    <t>04-22-2017</t>
  </si>
  <si>
    <t>07-29-2019</t>
  </si>
  <si>
    <t>07-31-2018</t>
  </si>
  <si>
    <t>03-17-2018</t>
  </si>
  <si>
    <t>12-17-2019</t>
  </si>
  <si>
    <t>01-28-2018</t>
  </si>
  <si>
    <t>11-25-2017</t>
  </si>
  <si>
    <t>01-31-2017</t>
  </si>
  <si>
    <t>12-16-2016</t>
  </si>
  <si>
    <t>01-23-2017</t>
  </si>
  <si>
    <t>03-17-2017</t>
  </si>
  <si>
    <t>02-15-2016</t>
  </si>
  <si>
    <t>08-20-2016</t>
  </si>
  <si>
    <t>08-21-2019</t>
  </si>
  <si>
    <t>05-28-2019</t>
  </si>
  <si>
    <t>02-27-2019</t>
  </si>
  <si>
    <t>12-20-2018</t>
  </si>
  <si>
    <t>08-31-2018</t>
  </si>
  <si>
    <t>09-23-2018</t>
  </si>
  <si>
    <t>09-16-2018</t>
  </si>
  <si>
    <t>08-17-2017</t>
  </si>
  <si>
    <t>06-13-2016</t>
  </si>
  <si>
    <t>02-20-2016</t>
  </si>
  <si>
    <t>01-13-2018</t>
  </si>
  <si>
    <t>05-14-2016</t>
  </si>
  <si>
    <t>03-21-2019</t>
  </si>
  <si>
    <t>07-14-2018</t>
  </si>
  <si>
    <t>06-28-2018</t>
  </si>
  <si>
    <t>10-30-2019</t>
  </si>
  <si>
    <t>05-15-2016</t>
  </si>
  <si>
    <t>04-30-2018</t>
  </si>
  <si>
    <t>04-22-2018</t>
  </si>
  <si>
    <t>02-23-2016</t>
  </si>
  <si>
    <t>10-23-2017</t>
  </si>
  <si>
    <t>09-25-2019</t>
  </si>
  <si>
    <t>11-19-2016</t>
  </si>
  <si>
    <t>02-22-2019</t>
  </si>
  <si>
    <t>12-16-2019</t>
  </si>
  <si>
    <t>01-29-2018</t>
  </si>
  <si>
    <t>04-16-2017</t>
  </si>
  <si>
    <t>01-17-2019</t>
  </si>
  <si>
    <t>01-24-2019</t>
  </si>
  <si>
    <t>02-15-2017</t>
  </si>
  <si>
    <t>09-27-2019</t>
  </si>
  <si>
    <t>10-15-2019</t>
  </si>
  <si>
    <t>02-18-2018</t>
  </si>
  <si>
    <t>08-24-2016</t>
  </si>
  <si>
    <t>01-25-2017</t>
  </si>
  <si>
    <t>06-15-2019</t>
  </si>
  <si>
    <t>07-26-2018</t>
  </si>
  <si>
    <t>02-18-2016</t>
  </si>
  <si>
    <t>09-15-2017</t>
  </si>
  <si>
    <t>12-14-2016</t>
  </si>
  <si>
    <t>04-20-2019</t>
  </si>
  <si>
    <t>04-14-2018</t>
  </si>
  <si>
    <t>05-23-2016</t>
  </si>
  <si>
    <t>07-19-2018</t>
  </si>
  <si>
    <t>10-20-2016</t>
  </si>
  <si>
    <t>11-20-2019</t>
  </si>
  <si>
    <t>01-19-2018</t>
  </si>
  <si>
    <t>11-17-2017</t>
  </si>
  <si>
    <t>03-30-2017</t>
  </si>
  <si>
    <t>04-24-2016</t>
  </si>
  <si>
    <t>05-13-2019</t>
  </si>
  <si>
    <t>10-21-2018</t>
  </si>
  <si>
    <t>08-22-2018</t>
  </si>
  <si>
    <t>05-21-2019</t>
  </si>
  <si>
    <t>10-26-2017</t>
  </si>
  <si>
    <t>08-19-2019</t>
  </si>
  <si>
    <t>01-26-2018</t>
  </si>
  <si>
    <t>10-27-2018</t>
  </si>
  <si>
    <t>11-14-2019</t>
  </si>
  <si>
    <t>05-13-2017</t>
  </si>
  <si>
    <t>04-28-2017</t>
  </si>
  <si>
    <t>05-17-2016</t>
  </si>
  <si>
    <t>04-29-2019</t>
  </si>
  <si>
    <t>08-26-2019</t>
  </si>
  <si>
    <t>03-14-2017</t>
  </si>
  <si>
    <t>01-24-2017</t>
  </si>
  <si>
    <t>06-21-2018</t>
  </si>
  <si>
    <t>06-27-2017</t>
  </si>
  <si>
    <t>03-23-2016</t>
  </si>
  <si>
    <t>01-22-2017</t>
  </si>
  <si>
    <t>03-22-2019</t>
  </si>
  <si>
    <t>10-30-2016</t>
  </si>
  <si>
    <t>05-28-2016</t>
  </si>
  <si>
    <t>07-14-2017</t>
  </si>
  <si>
    <t>08-13-2017</t>
  </si>
  <si>
    <t>12-22-2017</t>
  </si>
  <si>
    <t>04-29-2016</t>
  </si>
  <si>
    <t>01-28-2016</t>
  </si>
  <si>
    <t>06-26-2017</t>
  </si>
  <si>
    <t>02-21-2018</t>
  </si>
  <si>
    <t>03-13-2019</t>
  </si>
  <si>
    <t>09-27-2016</t>
  </si>
  <si>
    <t>02-28-2018</t>
  </si>
  <si>
    <t>05-18-2017</t>
  </si>
  <si>
    <t>05-28-2018</t>
  </si>
  <si>
    <t>06-21-2016</t>
  </si>
  <si>
    <t>07-25-2018</t>
  </si>
  <si>
    <t>02-17-2016</t>
  </si>
  <si>
    <t>01-14-2019</t>
  </si>
  <si>
    <t>07-28-2016</t>
  </si>
  <si>
    <t>08-25-2018</t>
  </si>
  <si>
    <t>05-22-2016</t>
  </si>
  <si>
    <t>12-29-2017</t>
  </si>
  <si>
    <t>12-15-2019</t>
  </si>
  <si>
    <t>01-30-2017</t>
  </si>
  <si>
    <t>03-22-2016</t>
  </si>
  <si>
    <t>12-29-2018</t>
  </si>
  <si>
    <t>08-29-2017</t>
  </si>
  <si>
    <t>11-22-2017</t>
  </si>
  <si>
    <t>09-16-2016</t>
  </si>
  <si>
    <t>07-24-2017</t>
  </si>
  <si>
    <t>10-27-2019</t>
  </si>
  <si>
    <t>01-13-2016</t>
  </si>
  <si>
    <t>07-29-2016</t>
  </si>
  <si>
    <t>07-13-2018</t>
  </si>
  <si>
    <t>02-16-2016</t>
  </si>
  <si>
    <t>09-15-2019</t>
  </si>
  <si>
    <t>05-31-2018</t>
  </si>
  <si>
    <t>09-17-2016</t>
  </si>
  <si>
    <t>12-24-2016</t>
  </si>
  <si>
    <t>10-13-2019</t>
  </si>
  <si>
    <t>03-19-2017</t>
  </si>
  <si>
    <t>08-13-2019</t>
  </si>
  <si>
    <t>05-25-2019</t>
  </si>
  <si>
    <t>08-16-2019</t>
  </si>
  <si>
    <t>08-14-2019</t>
  </si>
  <si>
    <t>04-15-2019</t>
  </si>
  <si>
    <t>11-22-2019</t>
  </si>
  <si>
    <t>01-16-2018</t>
  </si>
  <si>
    <t>07-15-2016</t>
  </si>
  <si>
    <t>03-17-2019</t>
  </si>
  <si>
    <t>11-28-2018</t>
  </si>
  <si>
    <t>04-30-2019</t>
  </si>
  <si>
    <t>07-19-2017</t>
  </si>
  <si>
    <t>01-17-2016</t>
  </si>
  <si>
    <t>10-31-2018</t>
  </si>
  <si>
    <t>11-24-2016</t>
  </si>
  <si>
    <t>02-19-2019</t>
  </si>
  <si>
    <t>05-30-2018</t>
  </si>
  <si>
    <t>09-30-2018</t>
  </si>
  <si>
    <t>09-14-2016</t>
  </si>
  <si>
    <t>09-20-2017</t>
  </si>
  <si>
    <t>10-24-2017</t>
  </si>
  <si>
    <t>07-24-2018</t>
  </si>
  <si>
    <t>02-25-2017</t>
  </si>
  <si>
    <t>07-17-2019</t>
  </si>
  <si>
    <t>11-15-2016</t>
  </si>
  <si>
    <t>04-25-2018</t>
  </si>
  <si>
    <t>03-18-2019</t>
  </si>
  <si>
    <t>05-26-2019</t>
  </si>
  <si>
    <t>01-25-2016</t>
  </si>
  <si>
    <t>09-28-2016</t>
  </si>
  <si>
    <t>12-17-2018</t>
  </si>
  <si>
    <t>07-23-2019</t>
  </si>
  <si>
    <t>12-23-2017</t>
  </si>
  <si>
    <t>04-28-2018</t>
  </si>
  <si>
    <t>05-22-2017</t>
  </si>
  <si>
    <t>01-26-2016</t>
  </si>
  <si>
    <t>11-26-2018</t>
  </si>
  <si>
    <t>11-29-2017</t>
  </si>
  <si>
    <t>04-19-2016</t>
  </si>
  <si>
    <t>12-29-2016</t>
  </si>
  <si>
    <t>12-20-2019</t>
  </si>
  <si>
    <t>10-27-2016</t>
  </si>
  <si>
    <t>02-26-2018</t>
  </si>
  <si>
    <t>02-15-2019</t>
  </si>
  <si>
    <t>11-24-2017</t>
  </si>
  <si>
    <t>07-22-2019</t>
  </si>
  <si>
    <t>05-18-2019</t>
  </si>
  <si>
    <t>09-13-2016</t>
  </si>
  <si>
    <t>01-20-2018</t>
  </si>
  <si>
    <t>05-27-2017</t>
  </si>
  <si>
    <t>09-14-2019</t>
  </si>
  <si>
    <t>04-15-2017</t>
  </si>
  <si>
    <t>04-23-2016</t>
  </si>
  <si>
    <t>09-17-2018</t>
  </si>
  <si>
    <t>12-19-2017</t>
  </si>
  <si>
    <t>11-25-2016</t>
  </si>
  <si>
    <t>06-28-2019</t>
  </si>
  <si>
    <t>05-24-2017</t>
  </si>
  <si>
    <t>10-28-2019</t>
  </si>
  <si>
    <t>11-17-2018</t>
  </si>
  <si>
    <t>07-13-2019</t>
  </si>
  <si>
    <t>09-24-2018</t>
  </si>
  <si>
    <t>03-13-2017</t>
  </si>
  <si>
    <t>07-31-2017</t>
  </si>
  <si>
    <t>09-26-2016</t>
  </si>
  <si>
    <t>10-25-2016</t>
  </si>
  <si>
    <t>12-22-2016</t>
  </si>
  <si>
    <t>03-30-2019</t>
  </si>
  <si>
    <t>03-14-2018</t>
  </si>
  <si>
    <t>09-17-2019</t>
  </si>
  <si>
    <t>06-23-2018</t>
  </si>
  <si>
    <t>01-13-2017</t>
  </si>
  <si>
    <t>07-26-2017</t>
  </si>
  <si>
    <t>03-31-2017</t>
  </si>
  <si>
    <t>02-26-2019</t>
  </si>
  <si>
    <t>10-15-2017</t>
  </si>
  <si>
    <t>04-17-2017</t>
  </si>
  <si>
    <t>03-25-2016</t>
  </si>
  <si>
    <t>12-29-2019</t>
  </si>
  <si>
    <t>05-25-2018</t>
  </si>
  <si>
    <t>10-30-2018</t>
  </si>
  <si>
    <t>08-21-2017</t>
  </si>
  <si>
    <t>08-13-2016</t>
  </si>
  <si>
    <t>10-19-2016</t>
  </si>
  <si>
    <t>03-18-2017</t>
  </si>
  <si>
    <t>10-14-2016</t>
  </si>
  <si>
    <t>08-27-2016</t>
  </si>
  <si>
    <t>12-27-2017</t>
  </si>
  <si>
    <t>06-24-2017</t>
  </si>
  <si>
    <t>06-26-2016</t>
  </si>
  <si>
    <t>08-20-2017</t>
  </si>
  <si>
    <t>06-25-2016</t>
  </si>
  <si>
    <t>09-21-2017</t>
  </si>
  <si>
    <t>05-13-2016</t>
  </si>
  <si>
    <t>09-29-2016</t>
  </si>
  <si>
    <t>12-25-2018</t>
  </si>
  <si>
    <t>01-13-2019</t>
  </si>
  <si>
    <t>10-26-2016</t>
  </si>
  <si>
    <t>11-18-2018</t>
  </si>
  <si>
    <t>12-24-2017</t>
  </si>
  <si>
    <t>09-25-2017</t>
  </si>
  <si>
    <t>11-15-2018</t>
  </si>
  <si>
    <t>10-14-2019</t>
  </si>
  <si>
    <t>12-16-2018</t>
  </si>
  <si>
    <t>11-15-2017</t>
  </si>
  <si>
    <t>07-17-2018</t>
  </si>
  <si>
    <t>05-21-2018</t>
  </si>
  <si>
    <t>03-26-2019</t>
  </si>
  <si>
    <t>06-19-2019</t>
  </si>
  <si>
    <t>08-24-2019</t>
  </si>
  <si>
    <t>08-27-2019</t>
  </si>
  <si>
    <t>12-21-2018</t>
  </si>
  <si>
    <t>01-26-2017</t>
  </si>
  <si>
    <t>09-21-2018</t>
  </si>
  <si>
    <t>08-24-2017</t>
  </si>
  <si>
    <t>02-27-2016</t>
  </si>
  <si>
    <t>06-13-2019</t>
  </si>
  <si>
    <t>09-15-2018</t>
  </si>
  <si>
    <t>12-21-2019</t>
  </si>
  <si>
    <t>03-28-2019</t>
  </si>
  <si>
    <t>11-30-2016</t>
  </si>
  <si>
    <t>04-20-2017</t>
  </si>
  <si>
    <t>06-16-2019</t>
  </si>
  <si>
    <t>02-29-2016</t>
  </si>
  <si>
    <t>08-26-2018</t>
  </si>
  <si>
    <t>08-31-2017</t>
  </si>
  <si>
    <t>04-22-2016</t>
  </si>
  <si>
    <t>12-23-2019</t>
  </si>
  <si>
    <t>11-20-2016</t>
  </si>
  <si>
    <t>11-28-2016</t>
  </si>
  <si>
    <t>12-26-2019</t>
  </si>
  <si>
    <t>10-23-2016</t>
  </si>
  <si>
    <t>01-22-2019</t>
  </si>
  <si>
    <t>06-25-2017</t>
  </si>
  <si>
    <t>10-16-2017</t>
  </si>
  <si>
    <t>06-22-2019</t>
  </si>
  <si>
    <t>07-20-2016</t>
  </si>
  <si>
    <t>11-19-2017</t>
  </si>
  <si>
    <t>03-15-2018</t>
  </si>
  <si>
    <t>01-16-2019</t>
  </si>
  <si>
    <t>05-14-2019</t>
  </si>
  <si>
    <t>08-16-2016</t>
  </si>
  <si>
    <t>11-24-2019</t>
  </si>
  <si>
    <t>10-21-2019</t>
  </si>
  <si>
    <t>01-24-2018</t>
  </si>
  <si>
    <t>06-13-2017</t>
  </si>
  <si>
    <t>07-29-2017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</si>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</sst>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05E5-1FCB-422A-B396-CF5ABDF90B8B}">
  <dimension ref="A1:U1234"/>
  <sheetViews>
    <sheetView tabSelected="1" workbookViewId="0">
      <selection activeCell="B1" sqref="B1:B1048576"/>
    </sheetView>
  </sheetViews>
  <sheetFormatPr defaultRowHeight="14.5" x14ac:dyDescent="0.35"/>
  <cols>
    <col min="1" max="1" width="14.54296875" bestFit="1" customWidth="1"/>
    <col min="2" max="4" width="14.08984375" style="2" customWidth="1"/>
    <col min="5" max="5" width="17.81640625" style="2" customWidth="1"/>
    <col min="6" max="6" width="13.08984375" bestFit="1" customWidth="1"/>
    <col min="7" max="7" width="10.90625" bestFit="1" customWidth="1"/>
    <col min="8" max="8" width="14.08984375" bestFit="1" customWidth="1"/>
    <col min="9" max="9" width="10.90625" bestFit="1" customWidth="1"/>
    <col min="10" max="10" width="11.7265625" bestFit="1" customWidth="1"/>
    <col min="11" max="11" width="10.36328125" bestFit="1" customWidth="1"/>
    <col min="12" max="12" width="11.36328125" bestFit="1" customWidth="1"/>
    <col min="13" max="13" width="6.81640625" bestFit="1" customWidth="1"/>
    <col min="14" max="14" width="10.90625" bestFit="1" customWidth="1"/>
    <col min="15" max="15" width="13" bestFit="1" customWidth="1"/>
    <col min="16" max="16" width="11.7265625" bestFit="1" customWidth="1"/>
    <col min="17" max="17" width="21.08984375" bestFit="1" customWidth="1"/>
    <col min="18" max="18" width="7.81640625" bestFit="1" customWidth="1"/>
    <col min="19" max="19" width="7.7265625" bestFit="1" customWidth="1"/>
    <col min="20" max="20" width="8.08984375" bestFit="1" customWidth="1"/>
    <col min="21" max="21" width="7.453125" bestFit="1" customWidth="1"/>
  </cols>
  <sheetData>
    <row r="1" spans="1:21" x14ac:dyDescent="0.35">
      <c r="A1" t="s">
        <v>0</v>
      </c>
      <c r="B1" s="1" t="s">
        <v>1</v>
      </c>
      <c r="C1" s="1" t="s">
        <v>6397</v>
      </c>
      <c r="D1" s="1" t="s">
        <v>6396</v>
      </c>
      <c r="E1" s="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35">
      <c r="A2" t="s">
        <v>19</v>
      </c>
      <c r="B2" s="2">
        <v>42819</v>
      </c>
      <c r="C2" s="2" t="str">
        <f>TEXT(B2,"mmmm")</f>
        <v>March</v>
      </c>
      <c r="D2" s="2" t="str">
        <f>TEXT(B2,"yyyy")</f>
        <v>2017</v>
      </c>
      <c r="E2" s="2" t="s">
        <v>6185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1019.29</v>
      </c>
      <c r="S2">
        <v>5</v>
      </c>
      <c r="T2">
        <v>0</v>
      </c>
      <c r="U2">
        <v>-60.4</v>
      </c>
    </row>
    <row r="3" spans="1:21" x14ac:dyDescent="0.35">
      <c r="A3" t="s">
        <v>32</v>
      </c>
      <c r="B3" s="2">
        <v>43302</v>
      </c>
      <c r="C3" s="2" t="str">
        <f t="shared" ref="C3:C66" si="0">TEXT(B3,"mmmm")</f>
        <v>July</v>
      </c>
      <c r="D3" s="2" t="str">
        <f t="shared" ref="D3:D66" si="1">TEXT(B3,"yyyy")</f>
        <v>2018</v>
      </c>
      <c r="E3" s="2" t="s">
        <v>6173</v>
      </c>
      <c r="F3" t="s">
        <v>20</v>
      </c>
      <c r="G3" t="s">
        <v>33</v>
      </c>
      <c r="H3" t="s">
        <v>34</v>
      </c>
      <c r="I3" t="s">
        <v>35</v>
      </c>
      <c r="J3" t="s">
        <v>24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 t="s">
        <v>39</v>
      </c>
      <c r="Q3" t="s">
        <v>40</v>
      </c>
      <c r="R3">
        <v>1765.14</v>
      </c>
      <c r="S3">
        <v>10</v>
      </c>
      <c r="T3">
        <v>0</v>
      </c>
      <c r="U3">
        <v>-69.75</v>
      </c>
    </row>
    <row r="4" spans="1:21" x14ac:dyDescent="0.35">
      <c r="A4" t="s">
        <v>41</v>
      </c>
      <c r="B4" s="2">
        <v>43563</v>
      </c>
      <c r="C4" s="2" t="str">
        <f t="shared" si="0"/>
        <v>April</v>
      </c>
      <c r="D4" s="2" t="str">
        <f t="shared" si="1"/>
        <v>2019</v>
      </c>
      <c r="E4" s="2">
        <v>43712</v>
      </c>
      <c r="F4" t="s">
        <v>42</v>
      </c>
      <c r="G4" t="s">
        <v>43</v>
      </c>
      <c r="H4" t="s">
        <v>44</v>
      </c>
      <c r="I4" t="s">
        <v>35</v>
      </c>
      <c r="J4" t="s">
        <v>24</v>
      </c>
      <c r="K4" t="s">
        <v>45</v>
      </c>
      <c r="L4" t="s">
        <v>46</v>
      </c>
      <c r="M4" t="s">
        <v>27</v>
      </c>
      <c r="N4" t="s">
        <v>47</v>
      </c>
      <c r="O4" t="s">
        <v>48</v>
      </c>
      <c r="P4" t="s">
        <v>49</v>
      </c>
      <c r="Q4" t="s">
        <v>50</v>
      </c>
      <c r="R4">
        <v>1738.9</v>
      </c>
      <c r="S4">
        <v>8</v>
      </c>
      <c r="T4">
        <v>0</v>
      </c>
      <c r="U4">
        <v>-134.37</v>
      </c>
    </row>
    <row r="5" spans="1:21" x14ac:dyDescent="0.35">
      <c r="A5" t="s">
        <v>51</v>
      </c>
      <c r="B5" s="2">
        <v>42656</v>
      </c>
      <c r="C5" s="2" t="str">
        <f t="shared" si="0"/>
        <v>October</v>
      </c>
      <c r="D5" s="2" t="str">
        <f t="shared" si="1"/>
        <v>2016</v>
      </c>
      <c r="E5" s="2" t="s">
        <v>6059</v>
      </c>
      <c r="F5" t="s">
        <v>52</v>
      </c>
      <c r="G5" t="s">
        <v>53</v>
      </c>
      <c r="H5" t="s">
        <v>54</v>
      </c>
      <c r="I5" t="s">
        <v>55</v>
      </c>
      <c r="J5" t="s">
        <v>24</v>
      </c>
      <c r="K5" t="s">
        <v>36</v>
      </c>
      <c r="L5" t="s">
        <v>56</v>
      </c>
      <c r="M5" t="s">
        <v>57</v>
      </c>
      <c r="N5" t="s">
        <v>58</v>
      </c>
      <c r="O5" t="s">
        <v>48</v>
      </c>
      <c r="P5" t="s">
        <v>59</v>
      </c>
      <c r="Q5" t="s">
        <v>60</v>
      </c>
      <c r="R5">
        <v>158.02000000000001</v>
      </c>
      <c r="S5">
        <v>1</v>
      </c>
      <c r="T5">
        <v>0.2</v>
      </c>
      <c r="U5">
        <v>10.94</v>
      </c>
    </row>
    <row r="6" spans="1:21" x14ac:dyDescent="0.35">
      <c r="A6" t="s">
        <v>61</v>
      </c>
      <c r="B6" s="2">
        <v>42477</v>
      </c>
      <c r="C6" s="2" t="str">
        <f t="shared" si="0"/>
        <v>April</v>
      </c>
      <c r="D6" s="2" t="str">
        <f t="shared" si="1"/>
        <v>2016</v>
      </c>
      <c r="E6" s="2" t="s">
        <v>6186</v>
      </c>
      <c r="F6" t="s">
        <v>62</v>
      </c>
      <c r="G6" t="s">
        <v>63</v>
      </c>
      <c r="H6" t="s">
        <v>64</v>
      </c>
      <c r="I6" t="s">
        <v>23</v>
      </c>
      <c r="J6" t="s">
        <v>24</v>
      </c>
      <c r="K6" t="s">
        <v>36</v>
      </c>
      <c r="L6" t="s">
        <v>65</v>
      </c>
      <c r="M6" t="s">
        <v>27</v>
      </c>
      <c r="N6" t="s">
        <v>66</v>
      </c>
      <c r="O6" t="s">
        <v>67</v>
      </c>
      <c r="P6" t="s">
        <v>68</v>
      </c>
      <c r="Q6" t="s">
        <v>69</v>
      </c>
      <c r="R6">
        <v>1235.27</v>
      </c>
      <c r="S6">
        <v>4</v>
      </c>
      <c r="T6">
        <v>0.1</v>
      </c>
      <c r="U6">
        <v>146.33000000000001</v>
      </c>
    </row>
    <row r="7" spans="1:21" x14ac:dyDescent="0.35">
      <c r="A7" t="s">
        <v>70</v>
      </c>
      <c r="B7" s="2">
        <v>43127</v>
      </c>
      <c r="C7" s="2" t="str">
        <f t="shared" si="0"/>
        <v>January</v>
      </c>
      <c r="D7" s="2" t="str">
        <f t="shared" si="1"/>
        <v>2018</v>
      </c>
      <c r="E7" s="2" t="s">
        <v>6162</v>
      </c>
      <c r="F7" t="s">
        <v>42</v>
      </c>
      <c r="G7" t="s">
        <v>71</v>
      </c>
      <c r="H7" t="s">
        <v>72</v>
      </c>
      <c r="I7" t="s">
        <v>55</v>
      </c>
      <c r="J7" t="s">
        <v>24</v>
      </c>
      <c r="K7" t="s">
        <v>73</v>
      </c>
      <c r="L7" t="s">
        <v>46</v>
      </c>
      <c r="M7" t="s">
        <v>74</v>
      </c>
      <c r="N7" t="s">
        <v>75</v>
      </c>
      <c r="O7" t="s">
        <v>48</v>
      </c>
      <c r="P7" t="s">
        <v>76</v>
      </c>
      <c r="Q7" t="s">
        <v>77</v>
      </c>
      <c r="R7">
        <v>1832.44</v>
      </c>
      <c r="S7">
        <v>9</v>
      </c>
      <c r="T7">
        <v>0.3</v>
      </c>
      <c r="U7">
        <v>284.38</v>
      </c>
    </row>
    <row r="8" spans="1:21" x14ac:dyDescent="0.35">
      <c r="A8" t="s">
        <v>78</v>
      </c>
      <c r="B8" s="2">
        <v>43596</v>
      </c>
      <c r="C8" s="2" t="str">
        <f t="shared" si="0"/>
        <v>May</v>
      </c>
      <c r="D8" s="2" t="str">
        <f t="shared" si="1"/>
        <v>2019</v>
      </c>
      <c r="E8" s="2" t="s">
        <v>6187</v>
      </c>
      <c r="F8" t="s">
        <v>52</v>
      </c>
      <c r="G8" t="s">
        <v>79</v>
      </c>
      <c r="H8" t="s">
        <v>80</v>
      </c>
      <c r="I8" t="s">
        <v>23</v>
      </c>
      <c r="J8" t="s">
        <v>24</v>
      </c>
      <c r="K8" t="s">
        <v>81</v>
      </c>
      <c r="L8" t="s">
        <v>82</v>
      </c>
      <c r="M8" t="s">
        <v>83</v>
      </c>
      <c r="N8" t="s">
        <v>84</v>
      </c>
      <c r="O8" t="s">
        <v>48</v>
      </c>
      <c r="P8" t="s">
        <v>59</v>
      </c>
      <c r="Q8" t="s">
        <v>85</v>
      </c>
      <c r="R8">
        <v>109.56</v>
      </c>
      <c r="S8">
        <v>2</v>
      </c>
      <c r="T8">
        <v>0.1</v>
      </c>
      <c r="U8">
        <v>13.55</v>
      </c>
    </row>
    <row r="9" spans="1:21" x14ac:dyDescent="0.35">
      <c r="A9" t="s">
        <v>86</v>
      </c>
      <c r="B9" s="2">
        <v>43206</v>
      </c>
      <c r="C9" s="2" t="str">
        <f t="shared" si="0"/>
        <v>April</v>
      </c>
      <c r="D9" s="2" t="str">
        <f t="shared" si="1"/>
        <v>2018</v>
      </c>
      <c r="E9" s="2" t="s">
        <v>6155</v>
      </c>
      <c r="F9" t="s">
        <v>42</v>
      </c>
      <c r="G9" t="s">
        <v>87</v>
      </c>
      <c r="H9" t="s">
        <v>88</v>
      </c>
      <c r="I9" t="s">
        <v>55</v>
      </c>
      <c r="J9" t="s">
        <v>24</v>
      </c>
      <c r="K9" t="s">
        <v>89</v>
      </c>
      <c r="L9" t="s">
        <v>90</v>
      </c>
      <c r="M9" t="s">
        <v>27</v>
      </c>
      <c r="N9" t="s">
        <v>91</v>
      </c>
      <c r="O9" t="s">
        <v>67</v>
      </c>
      <c r="P9" t="s">
        <v>92</v>
      </c>
      <c r="Q9" t="s">
        <v>93</v>
      </c>
      <c r="R9">
        <v>1418.82</v>
      </c>
      <c r="S9">
        <v>9</v>
      </c>
      <c r="T9">
        <v>0.1</v>
      </c>
      <c r="U9">
        <v>-396.12</v>
      </c>
    </row>
    <row r="10" spans="1:21" x14ac:dyDescent="0.35">
      <c r="A10" t="s">
        <v>94</v>
      </c>
      <c r="B10" s="2">
        <v>42383</v>
      </c>
      <c r="C10" s="2" t="str">
        <f t="shared" si="0"/>
        <v>January</v>
      </c>
      <c r="D10" s="2" t="str">
        <f t="shared" si="1"/>
        <v>2016</v>
      </c>
      <c r="E10" s="2" t="s">
        <v>6018</v>
      </c>
      <c r="F10" t="s">
        <v>62</v>
      </c>
      <c r="G10" t="s">
        <v>95</v>
      </c>
      <c r="H10" t="s">
        <v>96</v>
      </c>
      <c r="I10" t="s">
        <v>23</v>
      </c>
      <c r="J10" t="s">
        <v>24</v>
      </c>
      <c r="K10" t="s">
        <v>97</v>
      </c>
      <c r="L10" t="s">
        <v>26</v>
      </c>
      <c r="M10" t="s">
        <v>74</v>
      </c>
      <c r="N10" t="s">
        <v>98</v>
      </c>
      <c r="O10" t="s">
        <v>48</v>
      </c>
      <c r="P10" t="s">
        <v>59</v>
      </c>
      <c r="Q10" t="s">
        <v>99</v>
      </c>
      <c r="R10">
        <v>1649.34</v>
      </c>
      <c r="S10">
        <v>10</v>
      </c>
      <c r="T10">
        <v>0.3</v>
      </c>
      <c r="U10">
        <v>-297.44</v>
      </c>
    </row>
    <row r="11" spans="1:21" x14ac:dyDescent="0.35">
      <c r="A11" t="s">
        <v>100</v>
      </c>
      <c r="B11" s="2">
        <v>43154</v>
      </c>
      <c r="C11" s="2" t="str">
        <f t="shared" si="0"/>
        <v>February</v>
      </c>
      <c r="D11" s="2" t="str">
        <f t="shared" si="1"/>
        <v>2018</v>
      </c>
      <c r="E11" s="2">
        <v>43103</v>
      </c>
      <c r="F11" t="s">
        <v>20</v>
      </c>
      <c r="G11" t="s">
        <v>101</v>
      </c>
      <c r="H11" t="s">
        <v>102</v>
      </c>
      <c r="I11" t="s">
        <v>35</v>
      </c>
      <c r="J11" t="s">
        <v>24</v>
      </c>
      <c r="K11" t="s">
        <v>103</v>
      </c>
      <c r="L11" t="s">
        <v>82</v>
      </c>
      <c r="M11" t="s">
        <v>57</v>
      </c>
      <c r="N11" t="s">
        <v>104</v>
      </c>
      <c r="O11" t="s">
        <v>67</v>
      </c>
      <c r="P11" t="s">
        <v>92</v>
      </c>
      <c r="Q11" t="s">
        <v>105</v>
      </c>
      <c r="R11">
        <v>1243.8</v>
      </c>
      <c r="S11">
        <v>10</v>
      </c>
      <c r="T11">
        <v>0.2</v>
      </c>
      <c r="U11">
        <v>269.88</v>
      </c>
    </row>
    <row r="12" spans="1:21" x14ac:dyDescent="0.35">
      <c r="A12" t="s">
        <v>106</v>
      </c>
      <c r="B12" s="2">
        <v>43527</v>
      </c>
      <c r="C12" s="2" t="str">
        <f t="shared" si="0"/>
        <v>March</v>
      </c>
      <c r="D12" s="2" t="str">
        <f t="shared" si="1"/>
        <v>2019</v>
      </c>
      <c r="E12" s="2">
        <v>43558</v>
      </c>
      <c r="F12" t="s">
        <v>52</v>
      </c>
      <c r="G12" t="s">
        <v>107</v>
      </c>
      <c r="H12" t="s">
        <v>108</v>
      </c>
      <c r="I12" t="s">
        <v>55</v>
      </c>
      <c r="J12" t="s">
        <v>24</v>
      </c>
      <c r="K12" t="s">
        <v>25</v>
      </c>
      <c r="L12" t="s">
        <v>37</v>
      </c>
      <c r="M12" t="s">
        <v>57</v>
      </c>
      <c r="N12" t="s">
        <v>109</v>
      </c>
      <c r="O12" t="s">
        <v>29</v>
      </c>
      <c r="P12" t="s">
        <v>110</v>
      </c>
      <c r="Q12" t="s">
        <v>111</v>
      </c>
      <c r="R12">
        <v>1250.5</v>
      </c>
      <c r="S12">
        <v>8</v>
      </c>
      <c r="T12">
        <v>0.4</v>
      </c>
      <c r="U12">
        <v>289.20999999999998</v>
      </c>
    </row>
    <row r="13" spans="1:21" x14ac:dyDescent="0.35">
      <c r="A13" t="s">
        <v>112</v>
      </c>
      <c r="B13" s="2">
        <v>42470</v>
      </c>
      <c r="C13" s="2" t="str">
        <f t="shared" si="0"/>
        <v>April</v>
      </c>
      <c r="D13" s="2" t="str">
        <f t="shared" si="1"/>
        <v>2016</v>
      </c>
      <c r="E13" s="2" t="s">
        <v>6020</v>
      </c>
      <c r="F13" t="s">
        <v>20</v>
      </c>
      <c r="G13" t="s">
        <v>113</v>
      </c>
      <c r="H13" t="s">
        <v>114</v>
      </c>
      <c r="I13" t="s">
        <v>35</v>
      </c>
      <c r="J13" t="s">
        <v>24</v>
      </c>
      <c r="K13" t="s">
        <v>81</v>
      </c>
      <c r="L13" t="s">
        <v>115</v>
      </c>
      <c r="M13" t="s">
        <v>83</v>
      </c>
      <c r="N13" t="s">
        <v>116</v>
      </c>
      <c r="O13" t="s">
        <v>67</v>
      </c>
      <c r="P13" t="s">
        <v>117</v>
      </c>
      <c r="Q13" t="s">
        <v>118</v>
      </c>
      <c r="R13">
        <v>687.99</v>
      </c>
      <c r="S13">
        <v>6</v>
      </c>
      <c r="T13">
        <v>0</v>
      </c>
      <c r="U13">
        <v>226.33</v>
      </c>
    </row>
    <row r="14" spans="1:21" x14ac:dyDescent="0.35">
      <c r="A14" t="s">
        <v>119</v>
      </c>
      <c r="B14" s="2">
        <v>42671</v>
      </c>
      <c r="C14" s="2" t="str">
        <f t="shared" si="0"/>
        <v>October</v>
      </c>
      <c r="D14" s="2" t="str">
        <f t="shared" si="1"/>
        <v>2016</v>
      </c>
      <c r="E14" s="2">
        <v>42501</v>
      </c>
      <c r="F14" t="s">
        <v>52</v>
      </c>
      <c r="G14" t="s">
        <v>120</v>
      </c>
      <c r="H14" t="s">
        <v>121</v>
      </c>
      <c r="I14" t="s">
        <v>35</v>
      </c>
      <c r="J14" t="s">
        <v>24</v>
      </c>
      <c r="K14" t="s">
        <v>81</v>
      </c>
      <c r="L14" t="s">
        <v>36</v>
      </c>
      <c r="M14" t="s">
        <v>83</v>
      </c>
      <c r="N14" t="s">
        <v>122</v>
      </c>
      <c r="O14" t="s">
        <v>48</v>
      </c>
      <c r="P14" t="s">
        <v>76</v>
      </c>
      <c r="Q14" t="s">
        <v>123</v>
      </c>
      <c r="R14">
        <v>473.68</v>
      </c>
      <c r="S14">
        <v>1</v>
      </c>
      <c r="T14">
        <v>0.4</v>
      </c>
      <c r="U14">
        <v>99.66</v>
      </c>
    </row>
    <row r="15" spans="1:21" x14ac:dyDescent="0.35">
      <c r="A15" t="s">
        <v>124</v>
      </c>
      <c r="B15" s="2">
        <v>43388</v>
      </c>
      <c r="C15" s="2" t="str">
        <f t="shared" si="0"/>
        <v>October</v>
      </c>
      <c r="D15" s="2" t="str">
        <f t="shared" si="1"/>
        <v>2018</v>
      </c>
      <c r="E15" s="2" t="s">
        <v>6188</v>
      </c>
      <c r="F15" t="s">
        <v>52</v>
      </c>
      <c r="G15" t="s">
        <v>125</v>
      </c>
      <c r="H15" t="s">
        <v>126</v>
      </c>
      <c r="I15" t="s">
        <v>55</v>
      </c>
      <c r="J15" t="s">
        <v>24</v>
      </c>
      <c r="K15" t="s">
        <v>36</v>
      </c>
      <c r="L15" t="s">
        <v>37</v>
      </c>
      <c r="M15" t="s">
        <v>83</v>
      </c>
      <c r="N15" t="s">
        <v>127</v>
      </c>
      <c r="O15" t="s">
        <v>48</v>
      </c>
      <c r="P15" t="s">
        <v>128</v>
      </c>
      <c r="Q15" t="s">
        <v>129</v>
      </c>
      <c r="R15">
        <v>1460.71</v>
      </c>
      <c r="S15">
        <v>2</v>
      </c>
      <c r="T15">
        <v>0</v>
      </c>
      <c r="U15">
        <v>-88.18</v>
      </c>
    </row>
    <row r="16" spans="1:21" x14ac:dyDescent="0.35">
      <c r="A16" t="s">
        <v>130</v>
      </c>
      <c r="B16" s="2">
        <v>43502</v>
      </c>
      <c r="C16" s="2" t="str">
        <f t="shared" si="0"/>
        <v>February</v>
      </c>
      <c r="D16" s="2" t="str">
        <f t="shared" si="1"/>
        <v>2019</v>
      </c>
      <c r="E16" s="2">
        <v>43801</v>
      </c>
      <c r="F16" t="s">
        <v>52</v>
      </c>
      <c r="G16" t="s">
        <v>131</v>
      </c>
      <c r="H16" t="s">
        <v>132</v>
      </c>
      <c r="I16" t="s">
        <v>55</v>
      </c>
      <c r="J16" t="s">
        <v>24</v>
      </c>
      <c r="K16" t="s">
        <v>133</v>
      </c>
      <c r="L16" t="s">
        <v>82</v>
      </c>
      <c r="M16" t="s">
        <v>57</v>
      </c>
      <c r="N16" t="s">
        <v>134</v>
      </c>
      <c r="O16" t="s">
        <v>48</v>
      </c>
      <c r="P16" t="s">
        <v>128</v>
      </c>
      <c r="Q16" t="s">
        <v>135</v>
      </c>
      <c r="R16">
        <v>1752.49</v>
      </c>
      <c r="S16">
        <v>6</v>
      </c>
      <c r="T16">
        <v>0.1</v>
      </c>
      <c r="U16">
        <v>167.79</v>
      </c>
    </row>
    <row r="17" spans="1:21" x14ac:dyDescent="0.35">
      <c r="A17" t="s">
        <v>136</v>
      </c>
      <c r="B17" s="2">
        <v>43780</v>
      </c>
      <c r="C17" s="2" t="str">
        <f t="shared" si="0"/>
        <v>November</v>
      </c>
      <c r="D17" s="2" t="str">
        <f t="shared" si="1"/>
        <v>2019</v>
      </c>
      <c r="E17" s="2" t="s">
        <v>6182</v>
      </c>
      <c r="F17" t="s">
        <v>52</v>
      </c>
      <c r="G17" t="s">
        <v>137</v>
      </c>
      <c r="H17" t="s">
        <v>138</v>
      </c>
      <c r="I17" t="s">
        <v>55</v>
      </c>
      <c r="J17" t="s">
        <v>24</v>
      </c>
      <c r="K17" t="s">
        <v>81</v>
      </c>
      <c r="L17" t="s">
        <v>82</v>
      </c>
      <c r="M17" t="s">
        <v>27</v>
      </c>
      <c r="N17" t="s">
        <v>139</v>
      </c>
      <c r="O17" t="s">
        <v>29</v>
      </c>
      <c r="P17" t="s">
        <v>110</v>
      </c>
      <c r="Q17" t="s">
        <v>140</v>
      </c>
      <c r="R17">
        <v>148.57</v>
      </c>
      <c r="S17">
        <v>1</v>
      </c>
      <c r="T17">
        <v>0</v>
      </c>
      <c r="U17">
        <v>-24.76</v>
      </c>
    </row>
    <row r="18" spans="1:21" x14ac:dyDescent="0.35">
      <c r="A18" t="s">
        <v>141</v>
      </c>
      <c r="B18" s="2">
        <v>43330</v>
      </c>
      <c r="C18" s="2" t="str">
        <f t="shared" si="0"/>
        <v>August</v>
      </c>
      <c r="D18" s="2" t="str">
        <f t="shared" si="1"/>
        <v>2018</v>
      </c>
      <c r="E18" s="2" t="s">
        <v>6189</v>
      </c>
      <c r="F18" t="s">
        <v>52</v>
      </c>
      <c r="G18" t="s">
        <v>142</v>
      </c>
      <c r="H18" t="s">
        <v>143</v>
      </c>
      <c r="I18" t="s">
        <v>35</v>
      </c>
      <c r="J18" t="s">
        <v>24</v>
      </c>
      <c r="K18" t="s">
        <v>25</v>
      </c>
      <c r="L18" t="s">
        <v>56</v>
      </c>
      <c r="M18" t="s">
        <v>57</v>
      </c>
      <c r="N18" t="s">
        <v>144</v>
      </c>
      <c r="O18" t="s">
        <v>48</v>
      </c>
      <c r="P18" t="s">
        <v>76</v>
      </c>
      <c r="Q18" t="s">
        <v>145</v>
      </c>
      <c r="R18">
        <v>245.1</v>
      </c>
      <c r="S18">
        <v>1</v>
      </c>
      <c r="T18">
        <v>0</v>
      </c>
      <c r="U18">
        <v>118.64</v>
      </c>
    </row>
    <row r="19" spans="1:21" x14ac:dyDescent="0.35">
      <c r="A19" t="s">
        <v>146</v>
      </c>
      <c r="B19" s="2">
        <v>43573</v>
      </c>
      <c r="C19" s="2" t="str">
        <f t="shared" si="0"/>
        <v>April</v>
      </c>
      <c r="D19" s="2" t="str">
        <f t="shared" si="1"/>
        <v>2019</v>
      </c>
      <c r="E19" s="2" t="s">
        <v>5936</v>
      </c>
      <c r="F19" t="s">
        <v>20</v>
      </c>
      <c r="G19" t="s">
        <v>147</v>
      </c>
      <c r="H19" t="s">
        <v>148</v>
      </c>
      <c r="I19" t="s">
        <v>23</v>
      </c>
      <c r="J19" t="s">
        <v>24</v>
      </c>
      <c r="K19" t="s">
        <v>73</v>
      </c>
      <c r="L19" t="s">
        <v>82</v>
      </c>
      <c r="M19" t="s">
        <v>74</v>
      </c>
      <c r="N19" t="s">
        <v>149</v>
      </c>
      <c r="O19" t="s">
        <v>29</v>
      </c>
      <c r="P19" t="s">
        <v>110</v>
      </c>
      <c r="Q19" t="s">
        <v>150</v>
      </c>
      <c r="R19">
        <v>847.94</v>
      </c>
      <c r="S19">
        <v>10</v>
      </c>
      <c r="T19">
        <v>0</v>
      </c>
      <c r="U19">
        <v>93.1</v>
      </c>
    </row>
    <row r="20" spans="1:21" x14ac:dyDescent="0.35">
      <c r="A20" t="s">
        <v>151</v>
      </c>
      <c r="B20" s="2">
        <v>43604</v>
      </c>
      <c r="C20" s="2" t="str">
        <f t="shared" si="0"/>
        <v>May</v>
      </c>
      <c r="D20" s="2" t="str">
        <f t="shared" si="1"/>
        <v>2019</v>
      </c>
      <c r="E20" s="2" t="s">
        <v>6190</v>
      </c>
      <c r="F20" t="s">
        <v>62</v>
      </c>
      <c r="G20" t="s">
        <v>152</v>
      </c>
      <c r="H20" t="s">
        <v>153</v>
      </c>
      <c r="I20" t="s">
        <v>55</v>
      </c>
      <c r="J20" t="s">
        <v>24</v>
      </c>
      <c r="K20" t="s">
        <v>97</v>
      </c>
      <c r="L20" t="s">
        <v>26</v>
      </c>
      <c r="M20" t="s">
        <v>83</v>
      </c>
      <c r="N20" t="s">
        <v>154</v>
      </c>
      <c r="O20" t="s">
        <v>29</v>
      </c>
      <c r="P20" t="s">
        <v>155</v>
      </c>
      <c r="Q20" t="s">
        <v>156</v>
      </c>
      <c r="R20">
        <v>625.16</v>
      </c>
      <c r="S20">
        <v>10</v>
      </c>
      <c r="T20">
        <v>0.3</v>
      </c>
      <c r="U20">
        <v>-72.02</v>
      </c>
    </row>
    <row r="21" spans="1:21" x14ac:dyDescent="0.35">
      <c r="A21" t="s">
        <v>157</v>
      </c>
      <c r="B21" s="2">
        <v>43022</v>
      </c>
      <c r="C21" s="2" t="str">
        <f t="shared" si="0"/>
        <v>October</v>
      </c>
      <c r="D21" s="2" t="str">
        <f t="shared" si="1"/>
        <v>2017</v>
      </c>
      <c r="E21" s="2" t="s">
        <v>6115</v>
      </c>
      <c r="F21" t="s">
        <v>42</v>
      </c>
      <c r="G21" t="s">
        <v>158</v>
      </c>
      <c r="H21" t="s">
        <v>159</v>
      </c>
      <c r="I21" t="s">
        <v>35</v>
      </c>
      <c r="J21" t="s">
        <v>24</v>
      </c>
      <c r="K21" t="s">
        <v>25</v>
      </c>
      <c r="L21" t="s">
        <v>26</v>
      </c>
      <c r="M21" t="s">
        <v>83</v>
      </c>
      <c r="N21" t="s">
        <v>160</v>
      </c>
      <c r="O21" t="s">
        <v>29</v>
      </c>
      <c r="P21" t="s">
        <v>39</v>
      </c>
      <c r="Q21" t="s">
        <v>161</v>
      </c>
      <c r="R21">
        <v>865.04</v>
      </c>
      <c r="S21">
        <v>9</v>
      </c>
      <c r="T21">
        <v>0</v>
      </c>
      <c r="U21">
        <v>316.39999999999998</v>
      </c>
    </row>
    <row r="22" spans="1:21" x14ac:dyDescent="0.35">
      <c r="A22" t="s">
        <v>162</v>
      </c>
      <c r="B22" s="2">
        <v>43033</v>
      </c>
      <c r="C22" s="2" t="str">
        <f t="shared" si="0"/>
        <v>October</v>
      </c>
      <c r="D22" s="2" t="str">
        <f t="shared" si="1"/>
        <v>2017</v>
      </c>
      <c r="E22" s="2" t="s">
        <v>6191</v>
      </c>
      <c r="F22" t="s">
        <v>20</v>
      </c>
      <c r="G22" t="s">
        <v>163</v>
      </c>
      <c r="H22" t="s">
        <v>164</v>
      </c>
      <c r="I22" t="s">
        <v>55</v>
      </c>
      <c r="J22" t="s">
        <v>24</v>
      </c>
      <c r="K22" t="s">
        <v>25</v>
      </c>
      <c r="L22" t="s">
        <v>36</v>
      </c>
      <c r="M22" t="s">
        <v>74</v>
      </c>
      <c r="N22" t="s">
        <v>165</v>
      </c>
      <c r="O22" t="s">
        <v>48</v>
      </c>
      <c r="P22" t="s">
        <v>59</v>
      </c>
      <c r="Q22" t="s">
        <v>166</v>
      </c>
      <c r="R22">
        <v>206.84</v>
      </c>
      <c r="S22">
        <v>6</v>
      </c>
      <c r="T22">
        <v>0.2</v>
      </c>
      <c r="U22">
        <v>69.319999999999993</v>
      </c>
    </row>
    <row r="23" spans="1:21" x14ac:dyDescent="0.35">
      <c r="A23" t="s">
        <v>167</v>
      </c>
      <c r="B23" s="2">
        <v>42923</v>
      </c>
      <c r="C23" s="2" t="str">
        <f t="shared" si="0"/>
        <v>July</v>
      </c>
      <c r="D23" s="2" t="str">
        <f t="shared" si="1"/>
        <v>2017</v>
      </c>
      <c r="E23" s="2">
        <v>43015</v>
      </c>
      <c r="F23" t="s">
        <v>42</v>
      </c>
      <c r="G23" t="s">
        <v>168</v>
      </c>
      <c r="H23" t="s">
        <v>169</v>
      </c>
      <c r="I23" t="s">
        <v>23</v>
      </c>
      <c r="J23" t="s">
        <v>24</v>
      </c>
      <c r="K23" t="s">
        <v>25</v>
      </c>
      <c r="L23" t="s">
        <v>170</v>
      </c>
      <c r="M23" t="s">
        <v>74</v>
      </c>
      <c r="N23" t="s">
        <v>171</v>
      </c>
      <c r="O23" t="s">
        <v>48</v>
      </c>
      <c r="P23" t="s">
        <v>59</v>
      </c>
      <c r="Q23" t="s">
        <v>172</v>
      </c>
      <c r="R23">
        <v>1179.04</v>
      </c>
      <c r="S23">
        <v>6</v>
      </c>
      <c r="T23">
        <v>0.3</v>
      </c>
      <c r="U23">
        <v>201.58</v>
      </c>
    </row>
    <row r="24" spans="1:21" x14ac:dyDescent="0.35">
      <c r="A24" t="s">
        <v>173</v>
      </c>
      <c r="B24" s="2">
        <v>43695</v>
      </c>
      <c r="C24" s="2" t="str">
        <f t="shared" si="0"/>
        <v>August</v>
      </c>
      <c r="D24" s="2" t="str">
        <f t="shared" si="1"/>
        <v>2019</v>
      </c>
      <c r="E24" s="2" t="s">
        <v>6192</v>
      </c>
      <c r="F24" t="s">
        <v>42</v>
      </c>
      <c r="G24" t="s">
        <v>174</v>
      </c>
      <c r="H24" t="s">
        <v>175</v>
      </c>
      <c r="I24" t="s">
        <v>55</v>
      </c>
      <c r="J24" t="s">
        <v>24</v>
      </c>
      <c r="K24" t="s">
        <v>133</v>
      </c>
      <c r="L24" t="s">
        <v>115</v>
      </c>
      <c r="M24" t="s">
        <v>57</v>
      </c>
      <c r="N24" t="s">
        <v>176</v>
      </c>
      <c r="O24" t="s">
        <v>67</v>
      </c>
      <c r="P24" t="s">
        <v>92</v>
      </c>
      <c r="Q24" t="s">
        <v>177</v>
      </c>
      <c r="R24">
        <v>1241.03</v>
      </c>
      <c r="S24">
        <v>10</v>
      </c>
      <c r="T24">
        <v>0</v>
      </c>
      <c r="U24">
        <v>37.18</v>
      </c>
    </row>
    <row r="25" spans="1:21" x14ac:dyDescent="0.35">
      <c r="A25" t="s">
        <v>178</v>
      </c>
      <c r="B25" s="2">
        <v>43166</v>
      </c>
      <c r="C25" s="2" t="str">
        <f t="shared" si="0"/>
        <v>March</v>
      </c>
      <c r="D25" s="2" t="str">
        <f t="shared" si="1"/>
        <v>2018</v>
      </c>
      <c r="E25" s="2">
        <v>43437</v>
      </c>
      <c r="F25" t="s">
        <v>42</v>
      </c>
      <c r="G25" t="s">
        <v>179</v>
      </c>
      <c r="H25" t="s">
        <v>180</v>
      </c>
      <c r="I25" t="s">
        <v>23</v>
      </c>
      <c r="J25" t="s">
        <v>24</v>
      </c>
      <c r="K25" t="s">
        <v>97</v>
      </c>
      <c r="L25" t="s">
        <v>37</v>
      </c>
      <c r="M25" t="s">
        <v>27</v>
      </c>
      <c r="N25" t="s">
        <v>181</v>
      </c>
      <c r="O25" t="s">
        <v>67</v>
      </c>
      <c r="P25" t="s">
        <v>92</v>
      </c>
      <c r="Q25" t="s">
        <v>182</v>
      </c>
      <c r="R25">
        <v>1275.6199999999999</v>
      </c>
      <c r="S25">
        <v>8</v>
      </c>
      <c r="T25">
        <v>0</v>
      </c>
      <c r="U25">
        <v>-239.53</v>
      </c>
    </row>
    <row r="26" spans="1:21" x14ac:dyDescent="0.35">
      <c r="A26" t="s">
        <v>183</v>
      </c>
      <c r="B26" s="2">
        <v>43431</v>
      </c>
      <c r="C26" s="2" t="str">
        <f t="shared" si="0"/>
        <v>November</v>
      </c>
      <c r="D26" s="2" t="str">
        <f t="shared" si="1"/>
        <v>2018</v>
      </c>
      <c r="E26" s="2">
        <v>43263</v>
      </c>
      <c r="F26" t="s">
        <v>42</v>
      </c>
      <c r="G26" t="s">
        <v>184</v>
      </c>
      <c r="H26" t="s">
        <v>185</v>
      </c>
      <c r="I26" t="s">
        <v>23</v>
      </c>
      <c r="J26" t="s">
        <v>24</v>
      </c>
      <c r="K26" t="s">
        <v>81</v>
      </c>
      <c r="L26" t="s">
        <v>36</v>
      </c>
      <c r="M26" t="s">
        <v>83</v>
      </c>
      <c r="N26" t="s">
        <v>186</v>
      </c>
      <c r="O26" t="s">
        <v>48</v>
      </c>
      <c r="P26" t="s">
        <v>76</v>
      </c>
      <c r="Q26" t="s">
        <v>187</v>
      </c>
      <c r="R26">
        <v>1563.08</v>
      </c>
      <c r="S26">
        <v>8</v>
      </c>
      <c r="T26">
        <v>0.1</v>
      </c>
      <c r="U26">
        <v>-15.46</v>
      </c>
    </row>
    <row r="27" spans="1:21" x14ac:dyDescent="0.35">
      <c r="A27" t="s">
        <v>188</v>
      </c>
      <c r="B27" s="2">
        <v>42990</v>
      </c>
      <c r="C27" s="2" t="str">
        <f t="shared" si="0"/>
        <v>September</v>
      </c>
      <c r="D27" s="2" t="str">
        <f t="shared" si="1"/>
        <v>2017</v>
      </c>
      <c r="E27" s="2" t="s">
        <v>6023</v>
      </c>
      <c r="F27" t="s">
        <v>20</v>
      </c>
      <c r="G27" t="s">
        <v>189</v>
      </c>
      <c r="H27" t="s">
        <v>190</v>
      </c>
      <c r="I27" t="s">
        <v>23</v>
      </c>
      <c r="J27" t="s">
        <v>24</v>
      </c>
      <c r="K27" t="s">
        <v>25</v>
      </c>
      <c r="L27" t="s">
        <v>46</v>
      </c>
      <c r="M27" t="s">
        <v>57</v>
      </c>
      <c r="N27" t="s">
        <v>191</v>
      </c>
      <c r="O27" t="s">
        <v>67</v>
      </c>
      <c r="P27" t="s">
        <v>68</v>
      </c>
      <c r="Q27" t="s">
        <v>192</v>
      </c>
      <c r="R27">
        <v>1346.93</v>
      </c>
      <c r="S27">
        <v>4</v>
      </c>
      <c r="T27">
        <v>0.4</v>
      </c>
      <c r="U27">
        <v>292.25</v>
      </c>
    </row>
    <row r="28" spans="1:21" x14ac:dyDescent="0.35">
      <c r="A28" t="s">
        <v>193</v>
      </c>
      <c r="B28" s="2">
        <v>42884</v>
      </c>
      <c r="C28" s="2" t="str">
        <f t="shared" si="0"/>
        <v>May</v>
      </c>
      <c r="D28" s="2" t="str">
        <f t="shared" si="1"/>
        <v>2017</v>
      </c>
      <c r="E28" s="2">
        <v>42800</v>
      </c>
      <c r="F28" t="s">
        <v>42</v>
      </c>
      <c r="G28" t="s">
        <v>194</v>
      </c>
      <c r="H28" t="s">
        <v>195</v>
      </c>
      <c r="I28" t="s">
        <v>23</v>
      </c>
      <c r="J28" t="s">
        <v>24</v>
      </c>
      <c r="K28" t="s">
        <v>45</v>
      </c>
      <c r="L28" t="s">
        <v>65</v>
      </c>
      <c r="M28" t="s">
        <v>83</v>
      </c>
      <c r="N28" t="s">
        <v>196</v>
      </c>
      <c r="O28" t="s">
        <v>67</v>
      </c>
      <c r="P28" t="s">
        <v>197</v>
      </c>
      <c r="Q28" t="s">
        <v>198</v>
      </c>
      <c r="R28">
        <v>1334.88</v>
      </c>
      <c r="S28">
        <v>4</v>
      </c>
      <c r="T28">
        <v>0.1</v>
      </c>
      <c r="U28">
        <v>539.55999999999995</v>
      </c>
    </row>
    <row r="29" spans="1:21" x14ac:dyDescent="0.35">
      <c r="A29" t="s">
        <v>199</v>
      </c>
      <c r="B29" s="2">
        <v>42615</v>
      </c>
      <c r="C29" s="2" t="str">
        <f t="shared" si="0"/>
        <v>September</v>
      </c>
      <c r="D29" s="2" t="str">
        <f t="shared" si="1"/>
        <v>2016</v>
      </c>
      <c r="E29" s="2">
        <v>42713</v>
      </c>
      <c r="F29" t="s">
        <v>62</v>
      </c>
      <c r="G29" t="s">
        <v>200</v>
      </c>
      <c r="H29" t="s">
        <v>201</v>
      </c>
      <c r="I29" t="s">
        <v>55</v>
      </c>
      <c r="J29" t="s">
        <v>24</v>
      </c>
      <c r="K29" t="s">
        <v>73</v>
      </c>
      <c r="L29" t="s">
        <v>90</v>
      </c>
      <c r="M29" t="s">
        <v>83</v>
      </c>
      <c r="N29" t="s">
        <v>202</v>
      </c>
      <c r="O29" t="s">
        <v>29</v>
      </c>
      <c r="P29" t="s">
        <v>155</v>
      </c>
      <c r="Q29" t="s">
        <v>203</v>
      </c>
      <c r="R29">
        <v>1911.74</v>
      </c>
      <c r="S29">
        <v>9</v>
      </c>
      <c r="T29">
        <v>0.3</v>
      </c>
      <c r="U29">
        <v>-469.72</v>
      </c>
    </row>
    <row r="30" spans="1:21" x14ac:dyDescent="0.35">
      <c r="A30" t="s">
        <v>204</v>
      </c>
      <c r="B30" s="2">
        <v>42616</v>
      </c>
      <c r="C30" s="2" t="str">
        <f t="shared" si="0"/>
        <v>September</v>
      </c>
      <c r="D30" s="2" t="str">
        <f t="shared" si="1"/>
        <v>2016</v>
      </c>
      <c r="E30" s="2">
        <v>42530</v>
      </c>
      <c r="F30" t="s">
        <v>20</v>
      </c>
      <c r="G30" t="s">
        <v>205</v>
      </c>
      <c r="H30" t="s">
        <v>206</v>
      </c>
      <c r="I30" t="s">
        <v>35</v>
      </c>
      <c r="J30" t="s">
        <v>24</v>
      </c>
      <c r="K30" t="s">
        <v>97</v>
      </c>
      <c r="L30" t="s">
        <v>36</v>
      </c>
      <c r="M30" t="s">
        <v>57</v>
      </c>
      <c r="N30" t="s">
        <v>207</v>
      </c>
      <c r="O30" t="s">
        <v>48</v>
      </c>
      <c r="P30" t="s">
        <v>49</v>
      </c>
      <c r="Q30" t="s">
        <v>208</v>
      </c>
      <c r="R30">
        <v>1835.13</v>
      </c>
      <c r="S30">
        <v>8</v>
      </c>
      <c r="T30">
        <v>0.2</v>
      </c>
      <c r="U30">
        <v>573.9</v>
      </c>
    </row>
    <row r="31" spans="1:21" x14ac:dyDescent="0.35">
      <c r="A31" t="s">
        <v>209</v>
      </c>
      <c r="B31" s="2">
        <v>43069</v>
      </c>
      <c r="C31" s="2" t="str">
        <f t="shared" si="0"/>
        <v>November</v>
      </c>
      <c r="D31" s="2" t="str">
        <f t="shared" si="1"/>
        <v>2017</v>
      </c>
      <c r="E31" s="2">
        <v>42928</v>
      </c>
      <c r="F31" t="s">
        <v>52</v>
      </c>
      <c r="G31" t="s">
        <v>210</v>
      </c>
      <c r="H31" t="s">
        <v>211</v>
      </c>
      <c r="I31" t="s">
        <v>23</v>
      </c>
      <c r="J31" t="s">
        <v>24</v>
      </c>
      <c r="K31" t="s">
        <v>212</v>
      </c>
      <c r="L31" t="s">
        <v>46</v>
      </c>
      <c r="M31" t="s">
        <v>27</v>
      </c>
      <c r="N31" t="s">
        <v>213</v>
      </c>
      <c r="O31" t="s">
        <v>67</v>
      </c>
      <c r="P31" t="s">
        <v>117</v>
      </c>
      <c r="Q31" t="s">
        <v>214</v>
      </c>
      <c r="R31">
        <v>1638.75</v>
      </c>
      <c r="S31">
        <v>7</v>
      </c>
      <c r="T31">
        <v>0.2</v>
      </c>
      <c r="U31">
        <v>-301.5</v>
      </c>
    </row>
    <row r="32" spans="1:21" x14ac:dyDescent="0.35">
      <c r="A32" t="s">
        <v>215</v>
      </c>
      <c r="B32" s="2">
        <v>43108</v>
      </c>
      <c r="C32" s="2" t="str">
        <f t="shared" si="0"/>
        <v>January</v>
      </c>
      <c r="D32" s="2" t="str">
        <f t="shared" si="1"/>
        <v>2018</v>
      </c>
      <c r="E32" s="2">
        <v>43374</v>
      </c>
      <c r="F32" t="s">
        <v>62</v>
      </c>
      <c r="G32" t="s">
        <v>216</v>
      </c>
      <c r="H32" t="s">
        <v>217</v>
      </c>
      <c r="I32" t="s">
        <v>23</v>
      </c>
      <c r="J32" t="s">
        <v>24</v>
      </c>
      <c r="K32" t="s">
        <v>133</v>
      </c>
      <c r="L32" t="s">
        <v>115</v>
      </c>
      <c r="M32" t="s">
        <v>57</v>
      </c>
      <c r="N32" t="s">
        <v>218</v>
      </c>
      <c r="O32" t="s">
        <v>29</v>
      </c>
      <c r="P32" t="s">
        <v>110</v>
      </c>
      <c r="Q32" t="s">
        <v>219</v>
      </c>
      <c r="R32">
        <v>1579.02</v>
      </c>
      <c r="S32">
        <v>6</v>
      </c>
      <c r="T32">
        <v>0.3</v>
      </c>
      <c r="U32">
        <v>61.22</v>
      </c>
    </row>
    <row r="33" spans="1:21" x14ac:dyDescent="0.35">
      <c r="A33" t="s">
        <v>220</v>
      </c>
      <c r="B33" s="2">
        <v>42700</v>
      </c>
      <c r="C33" s="2" t="str">
        <f t="shared" si="0"/>
        <v>November</v>
      </c>
      <c r="D33" s="2" t="str">
        <f t="shared" si="1"/>
        <v>2016</v>
      </c>
      <c r="E33" s="2" t="s">
        <v>6054</v>
      </c>
      <c r="F33" t="s">
        <v>62</v>
      </c>
      <c r="G33" t="s">
        <v>221</v>
      </c>
      <c r="H33" t="s">
        <v>222</v>
      </c>
      <c r="I33" t="s">
        <v>55</v>
      </c>
      <c r="J33" t="s">
        <v>24</v>
      </c>
      <c r="K33" t="s">
        <v>133</v>
      </c>
      <c r="L33" t="s">
        <v>170</v>
      </c>
      <c r="M33" t="s">
        <v>57</v>
      </c>
      <c r="N33" t="s">
        <v>223</v>
      </c>
      <c r="O33" t="s">
        <v>67</v>
      </c>
      <c r="P33" t="s">
        <v>117</v>
      </c>
      <c r="Q33" t="s">
        <v>224</v>
      </c>
      <c r="R33">
        <v>385.45</v>
      </c>
      <c r="S33">
        <v>9</v>
      </c>
      <c r="T33">
        <v>0.1</v>
      </c>
      <c r="U33">
        <v>-101.11</v>
      </c>
    </row>
    <row r="34" spans="1:21" x14ac:dyDescent="0.35">
      <c r="A34" t="s">
        <v>225</v>
      </c>
      <c r="B34" s="2">
        <v>43778</v>
      </c>
      <c r="C34" s="2" t="str">
        <f t="shared" si="0"/>
        <v>November</v>
      </c>
      <c r="D34" s="2" t="str">
        <f t="shared" si="1"/>
        <v>2019</v>
      </c>
      <c r="E34" s="2">
        <v>43780</v>
      </c>
      <c r="F34" t="s">
        <v>42</v>
      </c>
      <c r="G34" t="s">
        <v>226</v>
      </c>
      <c r="H34" t="s">
        <v>227</v>
      </c>
      <c r="I34" t="s">
        <v>55</v>
      </c>
      <c r="J34" t="s">
        <v>24</v>
      </c>
      <c r="K34" t="s">
        <v>73</v>
      </c>
      <c r="L34" t="s">
        <v>36</v>
      </c>
      <c r="M34" t="s">
        <v>74</v>
      </c>
      <c r="N34" t="s">
        <v>228</v>
      </c>
      <c r="O34" t="s">
        <v>67</v>
      </c>
      <c r="P34" t="s">
        <v>229</v>
      </c>
      <c r="Q34" t="s">
        <v>230</v>
      </c>
      <c r="R34">
        <v>1045.56</v>
      </c>
      <c r="S34">
        <v>7</v>
      </c>
      <c r="T34">
        <v>0</v>
      </c>
      <c r="U34">
        <v>-57.83</v>
      </c>
    </row>
    <row r="35" spans="1:21" x14ac:dyDescent="0.35">
      <c r="A35" t="s">
        <v>231</v>
      </c>
      <c r="B35" s="2">
        <v>43826</v>
      </c>
      <c r="C35" s="2" t="str">
        <f t="shared" si="0"/>
        <v>December</v>
      </c>
      <c r="D35" s="2" t="str">
        <f t="shared" si="1"/>
        <v>2019</v>
      </c>
      <c r="E35" s="2">
        <v>43862</v>
      </c>
      <c r="F35" t="s">
        <v>62</v>
      </c>
      <c r="G35" t="s">
        <v>232</v>
      </c>
      <c r="H35" t="s">
        <v>233</v>
      </c>
      <c r="I35" t="s">
        <v>55</v>
      </c>
      <c r="J35" t="s">
        <v>24</v>
      </c>
      <c r="K35" t="s">
        <v>25</v>
      </c>
      <c r="L35" t="s">
        <v>56</v>
      </c>
      <c r="M35" t="s">
        <v>74</v>
      </c>
      <c r="N35" t="s">
        <v>234</v>
      </c>
      <c r="O35" t="s">
        <v>29</v>
      </c>
      <c r="P35" t="s">
        <v>155</v>
      </c>
      <c r="Q35" t="s">
        <v>235</v>
      </c>
      <c r="R35">
        <v>1158.01</v>
      </c>
      <c r="S35">
        <v>8</v>
      </c>
      <c r="T35">
        <v>0.2</v>
      </c>
      <c r="U35">
        <v>433.49</v>
      </c>
    </row>
    <row r="36" spans="1:21" x14ac:dyDescent="0.35">
      <c r="A36" t="s">
        <v>236</v>
      </c>
      <c r="B36" s="2">
        <v>43123</v>
      </c>
      <c r="C36" s="2" t="str">
        <f t="shared" si="0"/>
        <v>January</v>
      </c>
      <c r="D36" s="2" t="str">
        <f t="shared" si="1"/>
        <v>2018</v>
      </c>
      <c r="E36" s="2" t="s">
        <v>6193</v>
      </c>
      <c r="F36" t="s">
        <v>62</v>
      </c>
      <c r="G36" t="s">
        <v>237</v>
      </c>
      <c r="H36" t="s">
        <v>238</v>
      </c>
      <c r="I36" t="s">
        <v>23</v>
      </c>
      <c r="J36" t="s">
        <v>24</v>
      </c>
      <c r="K36" t="s">
        <v>89</v>
      </c>
      <c r="L36" t="s">
        <v>90</v>
      </c>
      <c r="M36" t="s">
        <v>57</v>
      </c>
      <c r="N36" t="s">
        <v>239</v>
      </c>
      <c r="O36" t="s">
        <v>48</v>
      </c>
      <c r="P36" t="s">
        <v>49</v>
      </c>
      <c r="Q36" t="s">
        <v>240</v>
      </c>
      <c r="R36">
        <v>976.77</v>
      </c>
      <c r="S36">
        <v>8</v>
      </c>
      <c r="T36">
        <v>0.2</v>
      </c>
      <c r="U36">
        <v>-229.13</v>
      </c>
    </row>
    <row r="37" spans="1:21" x14ac:dyDescent="0.35">
      <c r="A37" t="s">
        <v>241</v>
      </c>
      <c r="B37" s="2">
        <v>43039</v>
      </c>
      <c r="C37" s="2" t="str">
        <f t="shared" si="0"/>
        <v>October</v>
      </c>
      <c r="D37" s="2" t="str">
        <f t="shared" si="1"/>
        <v>2017</v>
      </c>
      <c r="E37" s="2">
        <v>42777</v>
      </c>
      <c r="F37" t="s">
        <v>20</v>
      </c>
      <c r="G37" t="s">
        <v>242</v>
      </c>
      <c r="H37" t="s">
        <v>243</v>
      </c>
      <c r="I37" t="s">
        <v>23</v>
      </c>
      <c r="J37" t="s">
        <v>24</v>
      </c>
      <c r="K37" t="s">
        <v>103</v>
      </c>
      <c r="L37" t="s">
        <v>65</v>
      </c>
      <c r="M37" t="s">
        <v>74</v>
      </c>
      <c r="N37" t="s">
        <v>244</v>
      </c>
      <c r="O37" t="s">
        <v>29</v>
      </c>
      <c r="P37" t="s">
        <v>30</v>
      </c>
      <c r="Q37" t="s">
        <v>245</v>
      </c>
      <c r="R37">
        <v>1407.8</v>
      </c>
      <c r="S37">
        <v>6</v>
      </c>
      <c r="T37">
        <v>0</v>
      </c>
      <c r="U37">
        <v>370.83</v>
      </c>
    </row>
    <row r="38" spans="1:21" x14ac:dyDescent="0.35">
      <c r="A38" t="s">
        <v>246</v>
      </c>
      <c r="B38" s="2">
        <v>43397</v>
      </c>
      <c r="C38" s="2" t="str">
        <f t="shared" si="0"/>
        <v>October</v>
      </c>
      <c r="D38" s="2" t="str">
        <f t="shared" si="1"/>
        <v>2018</v>
      </c>
      <c r="E38" s="2" t="s">
        <v>6194</v>
      </c>
      <c r="F38" t="s">
        <v>20</v>
      </c>
      <c r="G38" t="s">
        <v>247</v>
      </c>
      <c r="H38" t="s">
        <v>248</v>
      </c>
      <c r="I38" t="s">
        <v>55</v>
      </c>
      <c r="J38" t="s">
        <v>24</v>
      </c>
      <c r="K38" t="s">
        <v>73</v>
      </c>
      <c r="L38" t="s">
        <v>26</v>
      </c>
      <c r="M38" t="s">
        <v>83</v>
      </c>
      <c r="N38" t="s">
        <v>249</v>
      </c>
      <c r="O38" t="s">
        <v>48</v>
      </c>
      <c r="P38" t="s">
        <v>49</v>
      </c>
      <c r="Q38" t="s">
        <v>250</v>
      </c>
      <c r="R38">
        <v>1930.33</v>
      </c>
      <c r="S38">
        <v>8</v>
      </c>
      <c r="T38">
        <v>0.2</v>
      </c>
      <c r="U38">
        <v>-81.28</v>
      </c>
    </row>
    <row r="39" spans="1:21" x14ac:dyDescent="0.35">
      <c r="A39" t="s">
        <v>251</v>
      </c>
      <c r="B39" s="2">
        <v>43140</v>
      </c>
      <c r="C39" s="2" t="str">
        <f t="shared" si="0"/>
        <v>February</v>
      </c>
      <c r="D39" s="2" t="str">
        <f t="shared" si="1"/>
        <v>2018</v>
      </c>
      <c r="E39" s="2" t="s">
        <v>6119</v>
      </c>
      <c r="F39" t="s">
        <v>62</v>
      </c>
      <c r="G39" t="s">
        <v>252</v>
      </c>
      <c r="H39" t="s">
        <v>253</v>
      </c>
      <c r="I39" t="s">
        <v>35</v>
      </c>
      <c r="J39" t="s">
        <v>24</v>
      </c>
      <c r="K39" t="s">
        <v>97</v>
      </c>
      <c r="L39" t="s">
        <v>37</v>
      </c>
      <c r="M39" t="s">
        <v>83</v>
      </c>
      <c r="N39" t="s">
        <v>254</v>
      </c>
      <c r="O39" t="s">
        <v>67</v>
      </c>
      <c r="P39" t="s">
        <v>92</v>
      </c>
      <c r="Q39" t="s">
        <v>255</v>
      </c>
      <c r="R39">
        <v>1222.74</v>
      </c>
      <c r="S39">
        <v>7</v>
      </c>
      <c r="T39">
        <v>0.3</v>
      </c>
      <c r="U39">
        <v>-61.98</v>
      </c>
    </row>
    <row r="40" spans="1:21" x14ac:dyDescent="0.35">
      <c r="A40" t="s">
        <v>256</v>
      </c>
      <c r="B40" s="2">
        <v>43774</v>
      </c>
      <c r="C40" s="2" t="str">
        <f t="shared" si="0"/>
        <v>November</v>
      </c>
      <c r="D40" s="2" t="str">
        <f t="shared" si="1"/>
        <v>2019</v>
      </c>
      <c r="E40" s="2" t="s">
        <v>6195</v>
      </c>
      <c r="F40" t="s">
        <v>52</v>
      </c>
      <c r="G40" t="s">
        <v>257</v>
      </c>
      <c r="H40" t="s">
        <v>258</v>
      </c>
      <c r="I40" t="s">
        <v>35</v>
      </c>
      <c r="J40" t="s">
        <v>24</v>
      </c>
      <c r="K40" t="s">
        <v>89</v>
      </c>
      <c r="L40" t="s">
        <v>37</v>
      </c>
      <c r="M40" t="s">
        <v>57</v>
      </c>
      <c r="N40" t="s">
        <v>259</v>
      </c>
      <c r="O40" t="s">
        <v>67</v>
      </c>
      <c r="P40" t="s">
        <v>229</v>
      </c>
      <c r="Q40" t="s">
        <v>260</v>
      </c>
      <c r="R40">
        <v>1663.22</v>
      </c>
      <c r="S40">
        <v>4</v>
      </c>
      <c r="T40">
        <v>0</v>
      </c>
      <c r="U40">
        <v>-180.98</v>
      </c>
    </row>
    <row r="41" spans="1:21" x14ac:dyDescent="0.35">
      <c r="A41" t="s">
        <v>261</v>
      </c>
      <c r="B41" s="2">
        <v>42826</v>
      </c>
      <c r="C41" s="2" t="str">
        <f t="shared" si="0"/>
        <v>April</v>
      </c>
      <c r="D41" s="2" t="str">
        <f t="shared" si="1"/>
        <v>2017</v>
      </c>
      <c r="E41" s="2">
        <v>42829</v>
      </c>
      <c r="F41" t="s">
        <v>42</v>
      </c>
      <c r="G41" t="s">
        <v>262</v>
      </c>
      <c r="H41" t="s">
        <v>263</v>
      </c>
      <c r="I41" t="s">
        <v>35</v>
      </c>
      <c r="J41" t="s">
        <v>24</v>
      </c>
      <c r="K41" t="s">
        <v>212</v>
      </c>
      <c r="L41" t="s">
        <v>115</v>
      </c>
      <c r="M41" t="s">
        <v>74</v>
      </c>
      <c r="N41" t="s">
        <v>264</v>
      </c>
      <c r="O41" t="s">
        <v>29</v>
      </c>
      <c r="P41" t="s">
        <v>110</v>
      </c>
      <c r="Q41" t="s">
        <v>265</v>
      </c>
      <c r="R41">
        <v>545.6</v>
      </c>
      <c r="S41">
        <v>10</v>
      </c>
      <c r="T41">
        <v>0.2</v>
      </c>
      <c r="U41">
        <v>-127.01</v>
      </c>
    </row>
    <row r="42" spans="1:21" x14ac:dyDescent="0.35">
      <c r="A42" t="s">
        <v>266</v>
      </c>
      <c r="B42" s="2">
        <v>42453</v>
      </c>
      <c r="C42" s="2" t="str">
        <f t="shared" si="0"/>
        <v>March</v>
      </c>
      <c r="D42" s="2" t="str">
        <f t="shared" si="1"/>
        <v>2016</v>
      </c>
      <c r="E42" s="2" t="s">
        <v>6097</v>
      </c>
      <c r="F42" t="s">
        <v>42</v>
      </c>
      <c r="G42" t="s">
        <v>267</v>
      </c>
      <c r="H42" t="s">
        <v>268</v>
      </c>
      <c r="I42" t="s">
        <v>23</v>
      </c>
      <c r="J42" t="s">
        <v>24</v>
      </c>
      <c r="K42" t="s">
        <v>45</v>
      </c>
      <c r="L42" t="s">
        <v>170</v>
      </c>
      <c r="M42" t="s">
        <v>27</v>
      </c>
      <c r="N42" t="s">
        <v>269</v>
      </c>
      <c r="O42" t="s">
        <v>67</v>
      </c>
      <c r="P42" t="s">
        <v>92</v>
      </c>
      <c r="Q42" t="s">
        <v>270</v>
      </c>
      <c r="R42">
        <v>1411.84</v>
      </c>
      <c r="S42">
        <v>6</v>
      </c>
      <c r="T42">
        <v>0</v>
      </c>
      <c r="U42">
        <v>-82.31</v>
      </c>
    </row>
    <row r="43" spans="1:21" x14ac:dyDescent="0.35">
      <c r="A43" t="s">
        <v>271</v>
      </c>
      <c r="B43" s="2">
        <v>42460</v>
      </c>
      <c r="C43" s="2" t="str">
        <f t="shared" si="0"/>
        <v>March</v>
      </c>
      <c r="D43" s="2" t="str">
        <f t="shared" si="1"/>
        <v>2016</v>
      </c>
      <c r="E43" s="2">
        <v>42464</v>
      </c>
      <c r="F43" t="s">
        <v>42</v>
      </c>
      <c r="G43" t="s">
        <v>272</v>
      </c>
      <c r="H43" t="s">
        <v>273</v>
      </c>
      <c r="I43" t="s">
        <v>23</v>
      </c>
      <c r="J43" t="s">
        <v>24</v>
      </c>
      <c r="K43" t="s">
        <v>81</v>
      </c>
      <c r="L43" t="s">
        <v>90</v>
      </c>
      <c r="M43" t="s">
        <v>57</v>
      </c>
      <c r="N43" t="s">
        <v>274</v>
      </c>
      <c r="O43" t="s">
        <v>67</v>
      </c>
      <c r="P43" t="s">
        <v>68</v>
      </c>
      <c r="Q43" t="s">
        <v>275</v>
      </c>
      <c r="R43">
        <v>820.59</v>
      </c>
      <c r="S43">
        <v>1</v>
      </c>
      <c r="T43">
        <v>0.2</v>
      </c>
      <c r="U43">
        <v>194.37</v>
      </c>
    </row>
    <row r="44" spans="1:21" x14ac:dyDescent="0.35">
      <c r="A44" t="s">
        <v>276</v>
      </c>
      <c r="B44" s="2">
        <v>42860</v>
      </c>
      <c r="C44" s="2" t="str">
        <f t="shared" si="0"/>
        <v>May</v>
      </c>
      <c r="D44" s="2" t="str">
        <f t="shared" si="1"/>
        <v>2017</v>
      </c>
      <c r="E44" s="2" t="s">
        <v>6196</v>
      </c>
      <c r="F44" t="s">
        <v>62</v>
      </c>
      <c r="G44" t="s">
        <v>277</v>
      </c>
      <c r="H44" t="s">
        <v>278</v>
      </c>
      <c r="I44" t="s">
        <v>35</v>
      </c>
      <c r="J44" t="s">
        <v>24</v>
      </c>
      <c r="K44" t="s">
        <v>36</v>
      </c>
      <c r="L44" t="s">
        <v>115</v>
      </c>
      <c r="M44" t="s">
        <v>74</v>
      </c>
      <c r="N44" t="s">
        <v>279</v>
      </c>
      <c r="O44" t="s">
        <v>48</v>
      </c>
      <c r="P44" t="s">
        <v>59</v>
      </c>
      <c r="Q44" t="s">
        <v>280</v>
      </c>
      <c r="R44">
        <v>1087.1099999999999</v>
      </c>
      <c r="S44">
        <v>9</v>
      </c>
      <c r="T44">
        <v>0.2</v>
      </c>
      <c r="U44">
        <v>380.69</v>
      </c>
    </row>
    <row r="45" spans="1:21" x14ac:dyDescent="0.35">
      <c r="A45" t="s">
        <v>281</v>
      </c>
      <c r="B45" s="2">
        <v>42849</v>
      </c>
      <c r="C45" s="2" t="str">
        <f t="shared" si="0"/>
        <v>April</v>
      </c>
      <c r="D45" s="2" t="str">
        <f t="shared" si="1"/>
        <v>2017</v>
      </c>
      <c r="E45" s="2">
        <v>42830</v>
      </c>
      <c r="F45" t="s">
        <v>62</v>
      </c>
      <c r="G45" t="s">
        <v>282</v>
      </c>
      <c r="H45" t="s">
        <v>283</v>
      </c>
      <c r="I45" t="s">
        <v>55</v>
      </c>
      <c r="J45" t="s">
        <v>24</v>
      </c>
      <c r="K45" t="s">
        <v>45</v>
      </c>
      <c r="L45" t="s">
        <v>37</v>
      </c>
      <c r="M45" t="s">
        <v>74</v>
      </c>
      <c r="N45" t="s">
        <v>284</v>
      </c>
      <c r="O45" t="s">
        <v>67</v>
      </c>
      <c r="P45" t="s">
        <v>197</v>
      </c>
      <c r="Q45" t="s">
        <v>285</v>
      </c>
      <c r="R45">
        <v>791.92</v>
      </c>
      <c r="S45">
        <v>8</v>
      </c>
      <c r="T45">
        <v>0</v>
      </c>
      <c r="U45">
        <v>30.75</v>
      </c>
    </row>
    <row r="46" spans="1:21" x14ac:dyDescent="0.35">
      <c r="A46" t="s">
        <v>286</v>
      </c>
      <c r="B46" s="2">
        <v>43576</v>
      </c>
      <c r="C46" s="2" t="str">
        <f t="shared" si="0"/>
        <v>April</v>
      </c>
      <c r="D46" s="2" t="str">
        <f t="shared" si="1"/>
        <v>2019</v>
      </c>
      <c r="E46" s="2" t="s">
        <v>5914</v>
      </c>
      <c r="F46" t="s">
        <v>20</v>
      </c>
      <c r="G46" t="s">
        <v>287</v>
      </c>
      <c r="H46" t="s">
        <v>288</v>
      </c>
      <c r="I46" t="s">
        <v>55</v>
      </c>
      <c r="J46" t="s">
        <v>24</v>
      </c>
      <c r="K46" t="s">
        <v>25</v>
      </c>
      <c r="L46" t="s">
        <v>90</v>
      </c>
      <c r="M46" t="s">
        <v>57</v>
      </c>
      <c r="N46" t="s">
        <v>289</v>
      </c>
      <c r="O46" t="s">
        <v>29</v>
      </c>
      <c r="P46" t="s">
        <v>110</v>
      </c>
      <c r="Q46" t="s">
        <v>290</v>
      </c>
      <c r="R46">
        <v>1329.12</v>
      </c>
      <c r="S46">
        <v>4</v>
      </c>
      <c r="T46">
        <v>0</v>
      </c>
      <c r="U46">
        <v>-303.12</v>
      </c>
    </row>
    <row r="47" spans="1:21" x14ac:dyDescent="0.35">
      <c r="A47" t="s">
        <v>291</v>
      </c>
      <c r="B47" s="2">
        <v>42851</v>
      </c>
      <c r="C47" s="2" t="str">
        <f t="shared" si="0"/>
        <v>April</v>
      </c>
      <c r="D47" s="2" t="str">
        <f t="shared" si="1"/>
        <v>2017</v>
      </c>
      <c r="E47" s="2" t="s">
        <v>6197</v>
      </c>
      <c r="F47" t="s">
        <v>62</v>
      </c>
      <c r="G47" t="s">
        <v>292</v>
      </c>
      <c r="H47" t="s">
        <v>293</v>
      </c>
      <c r="I47" t="s">
        <v>55</v>
      </c>
      <c r="J47" t="s">
        <v>24</v>
      </c>
      <c r="K47" t="s">
        <v>89</v>
      </c>
      <c r="L47" t="s">
        <v>26</v>
      </c>
      <c r="M47" t="s">
        <v>27</v>
      </c>
      <c r="N47" t="s">
        <v>294</v>
      </c>
      <c r="O47" t="s">
        <v>67</v>
      </c>
      <c r="P47" t="s">
        <v>117</v>
      </c>
      <c r="Q47" t="s">
        <v>295</v>
      </c>
      <c r="R47">
        <v>167.02</v>
      </c>
      <c r="S47">
        <v>6</v>
      </c>
      <c r="T47">
        <v>0</v>
      </c>
      <c r="U47">
        <v>34.81</v>
      </c>
    </row>
    <row r="48" spans="1:21" x14ac:dyDescent="0.35">
      <c r="A48" t="s">
        <v>296</v>
      </c>
      <c r="B48" s="2">
        <v>42677</v>
      </c>
      <c r="C48" s="2" t="str">
        <f t="shared" si="0"/>
        <v>November</v>
      </c>
      <c r="D48" s="2" t="str">
        <f t="shared" si="1"/>
        <v>2016</v>
      </c>
      <c r="E48" s="2">
        <v>42562</v>
      </c>
      <c r="F48" t="s">
        <v>52</v>
      </c>
      <c r="G48" t="s">
        <v>297</v>
      </c>
      <c r="H48" t="s">
        <v>298</v>
      </c>
      <c r="I48" t="s">
        <v>23</v>
      </c>
      <c r="J48" t="s">
        <v>24</v>
      </c>
      <c r="K48" t="s">
        <v>89</v>
      </c>
      <c r="L48" t="s">
        <v>90</v>
      </c>
      <c r="M48" t="s">
        <v>57</v>
      </c>
      <c r="N48" t="s">
        <v>299</v>
      </c>
      <c r="O48" t="s">
        <v>29</v>
      </c>
      <c r="P48" t="s">
        <v>30</v>
      </c>
      <c r="Q48" t="s">
        <v>300</v>
      </c>
      <c r="R48">
        <v>174.39</v>
      </c>
      <c r="S48">
        <v>6</v>
      </c>
      <c r="T48">
        <v>0.2</v>
      </c>
      <c r="U48">
        <v>-27.76</v>
      </c>
    </row>
    <row r="49" spans="1:21" x14ac:dyDescent="0.35">
      <c r="A49" t="s">
        <v>301</v>
      </c>
      <c r="B49" s="2">
        <v>42501</v>
      </c>
      <c r="C49" s="2" t="str">
        <f t="shared" si="0"/>
        <v>May</v>
      </c>
      <c r="D49" s="2" t="str">
        <f t="shared" si="1"/>
        <v>2016</v>
      </c>
      <c r="E49" s="2" t="s">
        <v>6198</v>
      </c>
      <c r="F49" t="s">
        <v>62</v>
      </c>
      <c r="G49" t="s">
        <v>302</v>
      </c>
      <c r="H49" t="s">
        <v>303</v>
      </c>
      <c r="I49" t="s">
        <v>23</v>
      </c>
      <c r="J49" t="s">
        <v>24</v>
      </c>
      <c r="K49" t="s">
        <v>45</v>
      </c>
      <c r="L49" t="s">
        <v>115</v>
      </c>
      <c r="M49" t="s">
        <v>27</v>
      </c>
      <c r="N49" t="s">
        <v>304</v>
      </c>
      <c r="O49" t="s">
        <v>67</v>
      </c>
      <c r="P49" t="s">
        <v>117</v>
      </c>
      <c r="Q49" t="s">
        <v>305</v>
      </c>
      <c r="R49">
        <v>1888.8</v>
      </c>
      <c r="S49">
        <v>4</v>
      </c>
      <c r="T49">
        <v>0</v>
      </c>
      <c r="U49">
        <v>-340.96</v>
      </c>
    </row>
    <row r="50" spans="1:21" x14ac:dyDescent="0.35">
      <c r="A50" t="s">
        <v>306</v>
      </c>
      <c r="B50" s="2">
        <v>42732</v>
      </c>
      <c r="C50" s="2" t="str">
        <f t="shared" si="0"/>
        <v>December</v>
      </c>
      <c r="D50" s="2" t="str">
        <f t="shared" si="1"/>
        <v>2016</v>
      </c>
      <c r="E50" s="2">
        <v>42887</v>
      </c>
      <c r="F50" t="s">
        <v>20</v>
      </c>
      <c r="G50" t="s">
        <v>307</v>
      </c>
      <c r="H50" t="s">
        <v>308</v>
      </c>
      <c r="I50" t="s">
        <v>55</v>
      </c>
      <c r="J50" t="s">
        <v>24</v>
      </c>
      <c r="K50" t="s">
        <v>133</v>
      </c>
      <c r="L50" t="s">
        <v>65</v>
      </c>
      <c r="M50" t="s">
        <v>83</v>
      </c>
      <c r="N50" t="s">
        <v>309</v>
      </c>
      <c r="O50" t="s">
        <v>29</v>
      </c>
      <c r="P50" t="s">
        <v>110</v>
      </c>
      <c r="Q50" t="s">
        <v>310</v>
      </c>
      <c r="R50">
        <v>233.86</v>
      </c>
      <c r="S50">
        <v>1</v>
      </c>
      <c r="T50">
        <v>0.2</v>
      </c>
      <c r="U50">
        <v>25.69</v>
      </c>
    </row>
    <row r="51" spans="1:21" x14ac:dyDescent="0.35">
      <c r="A51" t="s">
        <v>311</v>
      </c>
      <c r="B51" s="2">
        <v>43577</v>
      </c>
      <c r="C51" s="2" t="str">
        <f t="shared" si="0"/>
        <v>April</v>
      </c>
      <c r="D51" s="2" t="str">
        <f t="shared" si="1"/>
        <v>2019</v>
      </c>
      <c r="E51" s="2" t="s">
        <v>6199</v>
      </c>
      <c r="F51" t="s">
        <v>42</v>
      </c>
      <c r="G51" t="s">
        <v>312</v>
      </c>
      <c r="H51" t="s">
        <v>313</v>
      </c>
      <c r="I51" t="s">
        <v>35</v>
      </c>
      <c r="J51" t="s">
        <v>24</v>
      </c>
      <c r="K51" t="s">
        <v>45</v>
      </c>
      <c r="L51" t="s">
        <v>56</v>
      </c>
      <c r="M51" t="s">
        <v>74</v>
      </c>
      <c r="N51" t="s">
        <v>314</v>
      </c>
      <c r="O51" t="s">
        <v>48</v>
      </c>
      <c r="P51" t="s">
        <v>59</v>
      </c>
      <c r="Q51" t="s">
        <v>315</v>
      </c>
      <c r="R51">
        <v>1113.8499999999999</v>
      </c>
      <c r="S51">
        <v>10</v>
      </c>
      <c r="T51">
        <v>0.1</v>
      </c>
      <c r="U51">
        <v>260.76</v>
      </c>
    </row>
    <row r="52" spans="1:21" x14ac:dyDescent="0.35">
      <c r="A52" t="s">
        <v>316</v>
      </c>
      <c r="B52" s="2">
        <v>43699</v>
      </c>
      <c r="C52" s="2" t="str">
        <f t="shared" si="0"/>
        <v>August</v>
      </c>
      <c r="D52" s="2" t="str">
        <f t="shared" si="1"/>
        <v>2019</v>
      </c>
      <c r="E52" s="2" t="s">
        <v>6200</v>
      </c>
      <c r="F52" t="s">
        <v>52</v>
      </c>
      <c r="G52" t="s">
        <v>317</v>
      </c>
      <c r="H52" t="s">
        <v>318</v>
      </c>
      <c r="I52" t="s">
        <v>23</v>
      </c>
      <c r="J52" t="s">
        <v>24</v>
      </c>
      <c r="K52" t="s">
        <v>133</v>
      </c>
      <c r="L52" t="s">
        <v>37</v>
      </c>
      <c r="M52" t="s">
        <v>27</v>
      </c>
      <c r="N52" t="s">
        <v>319</v>
      </c>
      <c r="O52" t="s">
        <v>29</v>
      </c>
      <c r="P52" t="s">
        <v>110</v>
      </c>
      <c r="Q52" t="s">
        <v>320</v>
      </c>
      <c r="R52">
        <v>1834.29</v>
      </c>
      <c r="S52">
        <v>4</v>
      </c>
      <c r="T52">
        <v>0.1</v>
      </c>
      <c r="U52">
        <v>-331.09</v>
      </c>
    </row>
    <row r="53" spans="1:21" x14ac:dyDescent="0.35">
      <c r="A53" t="s">
        <v>321</v>
      </c>
      <c r="B53" s="2">
        <v>43495</v>
      </c>
      <c r="C53" s="2" t="str">
        <f t="shared" si="0"/>
        <v>January</v>
      </c>
      <c r="D53" s="2" t="str">
        <f t="shared" si="1"/>
        <v>2019</v>
      </c>
      <c r="E53" s="2" t="s">
        <v>5959</v>
      </c>
      <c r="F53" t="s">
        <v>20</v>
      </c>
      <c r="G53" t="s">
        <v>322</v>
      </c>
      <c r="H53" t="s">
        <v>323</v>
      </c>
      <c r="I53" t="s">
        <v>35</v>
      </c>
      <c r="J53" t="s">
        <v>24</v>
      </c>
      <c r="K53" t="s">
        <v>103</v>
      </c>
      <c r="L53" t="s">
        <v>56</v>
      </c>
      <c r="M53" t="s">
        <v>83</v>
      </c>
      <c r="N53" t="s">
        <v>324</v>
      </c>
      <c r="O53" t="s">
        <v>48</v>
      </c>
      <c r="P53" t="s">
        <v>76</v>
      </c>
      <c r="Q53" t="s">
        <v>325</v>
      </c>
      <c r="R53">
        <v>881.02</v>
      </c>
      <c r="S53">
        <v>8</v>
      </c>
      <c r="T53">
        <v>0.3</v>
      </c>
      <c r="U53">
        <v>298.58999999999997</v>
      </c>
    </row>
    <row r="54" spans="1:21" x14ac:dyDescent="0.35">
      <c r="A54" t="s">
        <v>326</v>
      </c>
      <c r="B54" s="2">
        <v>42672</v>
      </c>
      <c r="C54" s="2" t="str">
        <f t="shared" si="0"/>
        <v>October</v>
      </c>
      <c r="D54" s="2" t="str">
        <f t="shared" si="1"/>
        <v>2016</v>
      </c>
      <c r="E54" s="2" t="s">
        <v>5957</v>
      </c>
      <c r="F54" t="s">
        <v>52</v>
      </c>
      <c r="G54" t="s">
        <v>327</v>
      </c>
      <c r="H54" t="s">
        <v>328</v>
      </c>
      <c r="I54" t="s">
        <v>23</v>
      </c>
      <c r="J54" t="s">
        <v>24</v>
      </c>
      <c r="K54" t="s">
        <v>89</v>
      </c>
      <c r="L54" t="s">
        <v>65</v>
      </c>
      <c r="M54" t="s">
        <v>83</v>
      </c>
      <c r="N54" t="s">
        <v>329</v>
      </c>
      <c r="O54" t="s">
        <v>48</v>
      </c>
      <c r="P54" t="s">
        <v>49</v>
      </c>
      <c r="Q54" t="s">
        <v>330</v>
      </c>
      <c r="R54">
        <v>419.67</v>
      </c>
      <c r="S54">
        <v>6</v>
      </c>
      <c r="T54">
        <v>0.1</v>
      </c>
      <c r="U54">
        <v>-123.15</v>
      </c>
    </row>
    <row r="55" spans="1:21" x14ac:dyDescent="0.35">
      <c r="A55" t="s">
        <v>331</v>
      </c>
      <c r="B55" s="2">
        <v>43388</v>
      </c>
      <c r="C55" s="2" t="str">
        <f t="shared" si="0"/>
        <v>October</v>
      </c>
      <c r="D55" s="2" t="str">
        <f t="shared" si="1"/>
        <v>2018</v>
      </c>
      <c r="E55" s="2" t="s">
        <v>5993</v>
      </c>
      <c r="F55" t="s">
        <v>20</v>
      </c>
      <c r="G55" t="s">
        <v>332</v>
      </c>
      <c r="H55" t="s">
        <v>333</v>
      </c>
      <c r="I55" t="s">
        <v>35</v>
      </c>
      <c r="J55" t="s">
        <v>24</v>
      </c>
      <c r="K55" t="s">
        <v>133</v>
      </c>
      <c r="L55" t="s">
        <v>65</v>
      </c>
      <c r="M55" t="s">
        <v>57</v>
      </c>
      <c r="N55" t="s">
        <v>334</v>
      </c>
      <c r="O55" t="s">
        <v>29</v>
      </c>
      <c r="P55" t="s">
        <v>110</v>
      </c>
      <c r="Q55" t="s">
        <v>335</v>
      </c>
      <c r="R55">
        <v>777.15</v>
      </c>
      <c r="S55">
        <v>7</v>
      </c>
      <c r="T55">
        <v>0</v>
      </c>
      <c r="U55">
        <v>302.61</v>
      </c>
    </row>
    <row r="56" spans="1:21" x14ac:dyDescent="0.35">
      <c r="A56" t="s">
        <v>336</v>
      </c>
      <c r="B56" s="2">
        <v>43649</v>
      </c>
      <c r="C56" s="2" t="str">
        <f t="shared" si="0"/>
        <v>July</v>
      </c>
      <c r="D56" s="2" t="str">
        <f t="shared" si="1"/>
        <v>2019</v>
      </c>
      <c r="E56" s="2">
        <v>43562</v>
      </c>
      <c r="F56" t="s">
        <v>62</v>
      </c>
      <c r="G56" t="s">
        <v>337</v>
      </c>
      <c r="H56" t="s">
        <v>338</v>
      </c>
      <c r="I56" t="s">
        <v>35</v>
      </c>
      <c r="J56" t="s">
        <v>24</v>
      </c>
      <c r="K56" t="s">
        <v>103</v>
      </c>
      <c r="L56" t="s">
        <v>26</v>
      </c>
      <c r="M56" t="s">
        <v>27</v>
      </c>
      <c r="N56" t="s">
        <v>339</v>
      </c>
      <c r="O56" t="s">
        <v>48</v>
      </c>
      <c r="P56" t="s">
        <v>76</v>
      </c>
      <c r="Q56" t="s">
        <v>340</v>
      </c>
      <c r="R56">
        <v>1723.64</v>
      </c>
      <c r="S56">
        <v>2</v>
      </c>
      <c r="T56">
        <v>0.4</v>
      </c>
      <c r="U56">
        <v>25.04</v>
      </c>
    </row>
    <row r="57" spans="1:21" x14ac:dyDescent="0.35">
      <c r="A57" t="s">
        <v>341</v>
      </c>
      <c r="B57" s="2">
        <v>42514</v>
      </c>
      <c r="C57" s="2" t="str">
        <f t="shared" si="0"/>
        <v>May</v>
      </c>
      <c r="D57" s="2" t="str">
        <f t="shared" si="1"/>
        <v>2016</v>
      </c>
      <c r="E57" s="2" t="s">
        <v>5935</v>
      </c>
      <c r="F57" t="s">
        <v>52</v>
      </c>
      <c r="G57" t="s">
        <v>342</v>
      </c>
      <c r="H57" t="s">
        <v>343</v>
      </c>
      <c r="I57" t="s">
        <v>55</v>
      </c>
      <c r="J57" t="s">
        <v>24</v>
      </c>
      <c r="K57" t="s">
        <v>97</v>
      </c>
      <c r="L57" t="s">
        <v>37</v>
      </c>
      <c r="M57" t="s">
        <v>57</v>
      </c>
      <c r="N57" t="s">
        <v>344</v>
      </c>
      <c r="O57" t="s">
        <v>48</v>
      </c>
      <c r="P57" t="s">
        <v>59</v>
      </c>
      <c r="Q57" t="s">
        <v>345</v>
      </c>
      <c r="R57">
        <v>1516.83</v>
      </c>
      <c r="S57">
        <v>2</v>
      </c>
      <c r="T57">
        <v>0</v>
      </c>
      <c r="U57">
        <v>23.05</v>
      </c>
    </row>
    <row r="58" spans="1:21" x14ac:dyDescent="0.35">
      <c r="A58" t="s">
        <v>346</v>
      </c>
      <c r="B58" s="2">
        <v>42886</v>
      </c>
      <c r="C58" s="2" t="str">
        <f t="shared" si="0"/>
        <v>May</v>
      </c>
      <c r="D58" s="2" t="str">
        <f t="shared" si="1"/>
        <v>2017</v>
      </c>
      <c r="E58" s="2">
        <v>42800</v>
      </c>
      <c r="F58" t="s">
        <v>62</v>
      </c>
      <c r="G58" t="s">
        <v>347</v>
      </c>
      <c r="H58" t="s">
        <v>348</v>
      </c>
      <c r="I58" t="s">
        <v>35</v>
      </c>
      <c r="J58" t="s">
        <v>24</v>
      </c>
      <c r="K58" t="s">
        <v>36</v>
      </c>
      <c r="L58" t="s">
        <v>115</v>
      </c>
      <c r="M58" t="s">
        <v>83</v>
      </c>
      <c r="N58" t="s">
        <v>349</v>
      </c>
      <c r="O58" t="s">
        <v>67</v>
      </c>
      <c r="P58" t="s">
        <v>350</v>
      </c>
      <c r="Q58" t="s">
        <v>351</v>
      </c>
      <c r="R58">
        <v>913.11</v>
      </c>
      <c r="S58">
        <v>3</v>
      </c>
      <c r="T58">
        <v>0.3</v>
      </c>
      <c r="U58">
        <v>264.43</v>
      </c>
    </row>
    <row r="59" spans="1:21" x14ac:dyDescent="0.35">
      <c r="A59" t="s">
        <v>352</v>
      </c>
      <c r="B59" s="2">
        <v>42800</v>
      </c>
      <c r="C59" s="2" t="str">
        <f t="shared" si="0"/>
        <v>March</v>
      </c>
      <c r="D59" s="2" t="str">
        <f t="shared" si="1"/>
        <v>2017</v>
      </c>
      <c r="E59" s="2" t="s">
        <v>6201</v>
      </c>
      <c r="F59" t="s">
        <v>42</v>
      </c>
      <c r="G59" t="s">
        <v>353</v>
      </c>
      <c r="H59" t="s">
        <v>354</v>
      </c>
      <c r="I59" t="s">
        <v>23</v>
      </c>
      <c r="J59" t="s">
        <v>24</v>
      </c>
      <c r="K59" t="s">
        <v>212</v>
      </c>
      <c r="L59" t="s">
        <v>26</v>
      </c>
      <c r="M59" t="s">
        <v>74</v>
      </c>
      <c r="N59" t="s">
        <v>355</v>
      </c>
      <c r="O59" t="s">
        <v>67</v>
      </c>
      <c r="P59" t="s">
        <v>92</v>
      </c>
      <c r="Q59" t="s">
        <v>356</v>
      </c>
      <c r="R59">
        <v>429.56</v>
      </c>
      <c r="S59">
        <v>9</v>
      </c>
      <c r="T59">
        <v>0</v>
      </c>
      <c r="U59">
        <v>22.85</v>
      </c>
    </row>
    <row r="60" spans="1:21" x14ac:dyDescent="0.35">
      <c r="A60" t="s">
        <v>357</v>
      </c>
      <c r="B60" s="2">
        <v>43473</v>
      </c>
      <c r="C60" s="2" t="str">
        <f t="shared" si="0"/>
        <v>January</v>
      </c>
      <c r="D60" s="2" t="str">
        <f t="shared" si="1"/>
        <v>2019</v>
      </c>
      <c r="E60" s="2">
        <v>43709</v>
      </c>
      <c r="F60" t="s">
        <v>42</v>
      </c>
      <c r="G60" t="s">
        <v>358</v>
      </c>
      <c r="H60" t="s">
        <v>359</v>
      </c>
      <c r="I60" t="s">
        <v>55</v>
      </c>
      <c r="J60" t="s">
        <v>24</v>
      </c>
      <c r="K60" t="s">
        <v>45</v>
      </c>
      <c r="L60" t="s">
        <v>82</v>
      </c>
      <c r="M60" t="s">
        <v>57</v>
      </c>
      <c r="N60" t="s">
        <v>360</v>
      </c>
      <c r="O60" t="s">
        <v>67</v>
      </c>
      <c r="P60" t="s">
        <v>229</v>
      </c>
      <c r="Q60" t="s">
        <v>361</v>
      </c>
      <c r="R60">
        <v>1544.17</v>
      </c>
      <c r="S60">
        <v>9</v>
      </c>
      <c r="T60">
        <v>0.4</v>
      </c>
      <c r="U60">
        <v>496.44</v>
      </c>
    </row>
    <row r="61" spans="1:21" x14ac:dyDescent="0.35">
      <c r="A61" t="s">
        <v>362</v>
      </c>
      <c r="B61" s="2">
        <v>43086</v>
      </c>
      <c r="C61" s="2" t="str">
        <f t="shared" si="0"/>
        <v>December</v>
      </c>
      <c r="D61" s="2" t="str">
        <f t="shared" si="1"/>
        <v>2017</v>
      </c>
      <c r="E61" s="2" t="s">
        <v>6070</v>
      </c>
      <c r="F61" t="s">
        <v>52</v>
      </c>
      <c r="G61" t="s">
        <v>363</v>
      </c>
      <c r="H61" t="s">
        <v>364</v>
      </c>
      <c r="I61" t="s">
        <v>55</v>
      </c>
      <c r="J61" t="s">
        <v>24</v>
      </c>
      <c r="K61" t="s">
        <v>133</v>
      </c>
      <c r="L61" t="s">
        <v>170</v>
      </c>
      <c r="M61" t="s">
        <v>74</v>
      </c>
      <c r="N61" t="s">
        <v>365</v>
      </c>
      <c r="O61" t="s">
        <v>67</v>
      </c>
      <c r="P61" t="s">
        <v>92</v>
      </c>
      <c r="Q61" t="s">
        <v>366</v>
      </c>
      <c r="R61">
        <v>1917.99</v>
      </c>
      <c r="S61">
        <v>4</v>
      </c>
      <c r="T61">
        <v>0.3</v>
      </c>
      <c r="U61">
        <v>-390.93</v>
      </c>
    </row>
    <row r="62" spans="1:21" x14ac:dyDescent="0.35">
      <c r="A62" t="s">
        <v>367</v>
      </c>
      <c r="B62" s="2">
        <v>42750</v>
      </c>
      <c r="C62" s="2" t="str">
        <f t="shared" si="0"/>
        <v>January</v>
      </c>
      <c r="D62" s="2" t="str">
        <f t="shared" si="1"/>
        <v>2017</v>
      </c>
      <c r="E62" s="2" t="s">
        <v>6202</v>
      </c>
      <c r="F62" t="s">
        <v>52</v>
      </c>
      <c r="G62" t="s">
        <v>368</v>
      </c>
      <c r="H62" t="s">
        <v>369</v>
      </c>
      <c r="I62" t="s">
        <v>23</v>
      </c>
      <c r="J62" t="s">
        <v>24</v>
      </c>
      <c r="K62" t="s">
        <v>36</v>
      </c>
      <c r="L62" t="s">
        <v>26</v>
      </c>
      <c r="M62" t="s">
        <v>74</v>
      </c>
      <c r="N62" t="s">
        <v>370</v>
      </c>
      <c r="O62" t="s">
        <v>29</v>
      </c>
      <c r="P62" t="s">
        <v>39</v>
      </c>
      <c r="Q62" t="s">
        <v>371</v>
      </c>
      <c r="R62">
        <v>1189.08</v>
      </c>
      <c r="S62">
        <v>10</v>
      </c>
      <c r="T62">
        <v>0</v>
      </c>
      <c r="U62">
        <v>507.91</v>
      </c>
    </row>
    <row r="63" spans="1:21" x14ac:dyDescent="0.35">
      <c r="A63" t="s">
        <v>372</v>
      </c>
      <c r="B63" s="2">
        <v>42428</v>
      </c>
      <c r="C63" s="2" t="str">
        <f t="shared" si="0"/>
        <v>February</v>
      </c>
      <c r="D63" s="2" t="str">
        <f t="shared" si="1"/>
        <v>2016</v>
      </c>
      <c r="E63" s="2">
        <v>42432</v>
      </c>
      <c r="F63" t="s">
        <v>62</v>
      </c>
      <c r="G63" t="s">
        <v>373</v>
      </c>
      <c r="H63" t="s">
        <v>374</v>
      </c>
      <c r="I63" t="s">
        <v>35</v>
      </c>
      <c r="J63" t="s">
        <v>24</v>
      </c>
      <c r="K63" t="s">
        <v>25</v>
      </c>
      <c r="L63" t="s">
        <v>82</v>
      </c>
      <c r="M63" t="s">
        <v>74</v>
      </c>
      <c r="N63" t="s">
        <v>375</v>
      </c>
      <c r="O63" t="s">
        <v>67</v>
      </c>
      <c r="P63" t="s">
        <v>68</v>
      </c>
      <c r="Q63" t="s">
        <v>376</v>
      </c>
      <c r="R63">
        <v>534.29</v>
      </c>
      <c r="S63">
        <v>8</v>
      </c>
      <c r="T63">
        <v>0</v>
      </c>
      <c r="U63">
        <v>-60.93</v>
      </c>
    </row>
    <row r="64" spans="1:21" x14ac:dyDescent="0.35">
      <c r="A64" t="s">
        <v>377</v>
      </c>
      <c r="B64" s="2">
        <v>43266</v>
      </c>
      <c r="C64" s="2" t="str">
        <f t="shared" si="0"/>
        <v>June</v>
      </c>
      <c r="D64" s="2" t="str">
        <f t="shared" si="1"/>
        <v>2018</v>
      </c>
      <c r="E64" s="2" t="s">
        <v>6203</v>
      </c>
      <c r="F64" t="s">
        <v>42</v>
      </c>
      <c r="G64" t="s">
        <v>378</v>
      </c>
      <c r="H64" t="s">
        <v>379</v>
      </c>
      <c r="I64" t="s">
        <v>55</v>
      </c>
      <c r="J64" t="s">
        <v>24</v>
      </c>
      <c r="K64" t="s">
        <v>81</v>
      </c>
      <c r="L64" t="s">
        <v>36</v>
      </c>
      <c r="M64" t="s">
        <v>83</v>
      </c>
      <c r="N64" t="s">
        <v>380</v>
      </c>
      <c r="O64" t="s">
        <v>29</v>
      </c>
      <c r="P64" t="s">
        <v>30</v>
      </c>
      <c r="Q64" t="s">
        <v>381</v>
      </c>
      <c r="R64">
        <v>1078.03</v>
      </c>
      <c r="S64">
        <v>6</v>
      </c>
      <c r="T64">
        <v>0.1</v>
      </c>
      <c r="U64">
        <v>5</v>
      </c>
    </row>
    <row r="65" spans="1:21" x14ac:dyDescent="0.35">
      <c r="A65" t="s">
        <v>382</v>
      </c>
      <c r="B65" s="2">
        <v>42906</v>
      </c>
      <c r="C65" s="2" t="str">
        <f t="shared" si="0"/>
        <v>June</v>
      </c>
      <c r="D65" s="2" t="str">
        <f t="shared" si="1"/>
        <v>2017</v>
      </c>
      <c r="E65" s="2" t="s">
        <v>6204</v>
      </c>
      <c r="F65" t="s">
        <v>42</v>
      </c>
      <c r="G65" t="s">
        <v>383</v>
      </c>
      <c r="H65" t="s">
        <v>384</v>
      </c>
      <c r="I65" t="s">
        <v>23</v>
      </c>
      <c r="J65" t="s">
        <v>24</v>
      </c>
      <c r="K65" t="s">
        <v>36</v>
      </c>
      <c r="L65" t="s">
        <v>46</v>
      </c>
      <c r="M65" t="s">
        <v>74</v>
      </c>
      <c r="N65" t="s">
        <v>385</v>
      </c>
      <c r="O65" t="s">
        <v>67</v>
      </c>
      <c r="P65" t="s">
        <v>229</v>
      </c>
      <c r="Q65" t="s">
        <v>386</v>
      </c>
      <c r="R65">
        <v>1173.23</v>
      </c>
      <c r="S65">
        <v>4</v>
      </c>
      <c r="T65">
        <v>0.2</v>
      </c>
      <c r="U65">
        <v>-98.04</v>
      </c>
    </row>
    <row r="66" spans="1:21" x14ac:dyDescent="0.35">
      <c r="A66" t="s">
        <v>387</v>
      </c>
      <c r="B66" s="2">
        <v>42449</v>
      </c>
      <c r="C66" s="2" t="str">
        <f t="shared" si="0"/>
        <v>March</v>
      </c>
      <c r="D66" s="2" t="str">
        <f t="shared" si="1"/>
        <v>2016</v>
      </c>
      <c r="E66" s="2" t="s">
        <v>6205</v>
      </c>
      <c r="F66" t="s">
        <v>52</v>
      </c>
      <c r="G66" t="s">
        <v>388</v>
      </c>
      <c r="H66" t="s">
        <v>389</v>
      </c>
      <c r="I66" t="s">
        <v>55</v>
      </c>
      <c r="J66" t="s">
        <v>24</v>
      </c>
      <c r="K66" t="s">
        <v>212</v>
      </c>
      <c r="L66" t="s">
        <v>82</v>
      </c>
      <c r="M66" t="s">
        <v>74</v>
      </c>
      <c r="N66" t="s">
        <v>390</v>
      </c>
      <c r="O66" t="s">
        <v>67</v>
      </c>
      <c r="P66" t="s">
        <v>350</v>
      </c>
      <c r="Q66" t="s">
        <v>391</v>
      </c>
      <c r="R66">
        <v>324.67</v>
      </c>
      <c r="S66">
        <v>8</v>
      </c>
      <c r="T66">
        <v>0</v>
      </c>
      <c r="U66">
        <v>48.22</v>
      </c>
    </row>
    <row r="67" spans="1:21" x14ac:dyDescent="0.35">
      <c r="A67" t="s">
        <v>392</v>
      </c>
      <c r="B67" s="2">
        <v>42717</v>
      </c>
      <c r="C67" s="2" t="str">
        <f t="shared" ref="C67:C130" si="2">TEXT(B67,"mmmm")</f>
        <v>December</v>
      </c>
      <c r="D67" s="2" t="str">
        <f t="shared" ref="D67:D130" si="3">TEXT(B67,"yyyy")</f>
        <v>2016</v>
      </c>
      <c r="E67" s="2" t="s">
        <v>6079</v>
      </c>
      <c r="F67" t="s">
        <v>20</v>
      </c>
      <c r="G67" t="s">
        <v>393</v>
      </c>
      <c r="H67" t="s">
        <v>394</v>
      </c>
      <c r="I67" t="s">
        <v>23</v>
      </c>
      <c r="J67" t="s">
        <v>24</v>
      </c>
      <c r="K67" t="s">
        <v>25</v>
      </c>
      <c r="L67" t="s">
        <v>37</v>
      </c>
      <c r="M67" t="s">
        <v>27</v>
      </c>
      <c r="N67" t="s">
        <v>395</v>
      </c>
      <c r="O67" t="s">
        <v>29</v>
      </c>
      <c r="P67" t="s">
        <v>155</v>
      </c>
      <c r="Q67" t="s">
        <v>396</v>
      </c>
      <c r="R67">
        <v>1439.86</v>
      </c>
      <c r="S67">
        <v>6</v>
      </c>
      <c r="T67">
        <v>0</v>
      </c>
      <c r="U67">
        <v>307.89999999999998</v>
      </c>
    </row>
    <row r="68" spans="1:21" x14ac:dyDescent="0.35">
      <c r="A68" t="s">
        <v>397</v>
      </c>
      <c r="B68" s="2">
        <v>42587</v>
      </c>
      <c r="C68" s="2" t="str">
        <f t="shared" si="2"/>
        <v>August</v>
      </c>
      <c r="D68" s="2" t="str">
        <f t="shared" si="3"/>
        <v>2016</v>
      </c>
      <c r="E68" s="2">
        <v>42682</v>
      </c>
      <c r="F68" t="s">
        <v>42</v>
      </c>
      <c r="G68" t="s">
        <v>398</v>
      </c>
      <c r="H68" t="s">
        <v>399</v>
      </c>
      <c r="I68" t="s">
        <v>35</v>
      </c>
      <c r="J68" t="s">
        <v>24</v>
      </c>
      <c r="K68" t="s">
        <v>103</v>
      </c>
      <c r="L68" t="s">
        <v>37</v>
      </c>
      <c r="M68" t="s">
        <v>27</v>
      </c>
      <c r="N68" t="s">
        <v>400</v>
      </c>
      <c r="O68" t="s">
        <v>29</v>
      </c>
      <c r="P68" t="s">
        <v>110</v>
      </c>
      <c r="Q68" t="s">
        <v>401</v>
      </c>
      <c r="R68">
        <v>1943.34</v>
      </c>
      <c r="S68">
        <v>9</v>
      </c>
      <c r="T68">
        <v>0</v>
      </c>
      <c r="U68">
        <v>23.78</v>
      </c>
    </row>
    <row r="69" spans="1:21" x14ac:dyDescent="0.35">
      <c r="A69" t="s">
        <v>402</v>
      </c>
      <c r="B69" s="2">
        <v>43374</v>
      </c>
      <c r="C69" s="2" t="str">
        <f t="shared" si="2"/>
        <v>October</v>
      </c>
      <c r="D69" s="2" t="str">
        <f t="shared" si="3"/>
        <v>2018</v>
      </c>
      <c r="E69" s="2">
        <v>43353</v>
      </c>
      <c r="F69" t="s">
        <v>52</v>
      </c>
      <c r="G69" t="s">
        <v>403</v>
      </c>
      <c r="H69" t="s">
        <v>404</v>
      </c>
      <c r="I69" t="s">
        <v>55</v>
      </c>
      <c r="J69" t="s">
        <v>24</v>
      </c>
      <c r="K69" t="s">
        <v>73</v>
      </c>
      <c r="L69" t="s">
        <v>36</v>
      </c>
      <c r="M69" t="s">
        <v>57</v>
      </c>
      <c r="N69" t="s">
        <v>405</v>
      </c>
      <c r="O69" t="s">
        <v>48</v>
      </c>
      <c r="P69" t="s">
        <v>49</v>
      </c>
      <c r="Q69" t="s">
        <v>406</v>
      </c>
      <c r="R69">
        <v>364.67</v>
      </c>
      <c r="S69">
        <v>6</v>
      </c>
      <c r="T69">
        <v>0.4</v>
      </c>
      <c r="U69">
        <v>97.32</v>
      </c>
    </row>
    <row r="70" spans="1:21" x14ac:dyDescent="0.35">
      <c r="A70" t="s">
        <v>407</v>
      </c>
      <c r="B70" s="2">
        <v>43574</v>
      </c>
      <c r="C70" s="2" t="str">
        <f t="shared" si="2"/>
        <v>April</v>
      </c>
      <c r="D70" s="2" t="str">
        <f t="shared" si="3"/>
        <v>2019</v>
      </c>
      <c r="E70" s="2" t="s">
        <v>5936</v>
      </c>
      <c r="F70" t="s">
        <v>20</v>
      </c>
      <c r="G70" t="s">
        <v>408</v>
      </c>
      <c r="H70" t="s">
        <v>409</v>
      </c>
      <c r="I70" t="s">
        <v>23</v>
      </c>
      <c r="J70" t="s">
        <v>24</v>
      </c>
      <c r="K70" t="s">
        <v>81</v>
      </c>
      <c r="L70" t="s">
        <v>46</v>
      </c>
      <c r="M70" t="s">
        <v>74</v>
      </c>
      <c r="N70" t="s">
        <v>410</v>
      </c>
      <c r="O70" t="s">
        <v>48</v>
      </c>
      <c r="P70" t="s">
        <v>49</v>
      </c>
      <c r="Q70" t="s">
        <v>411</v>
      </c>
      <c r="R70">
        <v>1880.84</v>
      </c>
      <c r="S70">
        <v>3</v>
      </c>
      <c r="T70">
        <v>0</v>
      </c>
      <c r="U70">
        <v>101.32</v>
      </c>
    </row>
    <row r="71" spans="1:21" x14ac:dyDescent="0.35">
      <c r="A71" t="s">
        <v>412</v>
      </c>
      <c r="B71" s="2">
        <v>43578</v>
      </c>
      <c r="C71" s="2" t="str">
        <f t="shared" si="2"/>
        <v>April</v>
      </c>
      <c r="D71" s="2" t="str">
        <f t="shared" si="3"/>
        <v>2019</v>
      </c>
      <c r="E71" s="2">
        <v>43501</v>
      </c>
      <c r="F71" t="s">
        <v>42</v>
      </c>
      <c r="G71" t="s">
        <v>413</v>
      </c>
      <c r="H71" t="s">
        <v>273</v>
      </c>
      <c r="I71" t="s">
        <v>23</v>
      </c>
      <c r="J71" t="s">
        <v>24</v>
      </c>
      <c r="K71" t="s">
        <v>103</v>
      </c>
      <c r="L71" t="s">
        <v>65</v>
      </c>
      <c r="M71" t="s">
        <v>57</v>
      </c>
      <c r="N71" t="s">
        <v>414</v>
      </c>
      <c r="O71" t="s">
        <v>48</v>
      </c>
      <c r="P71" t="s">
        <v>128</v>
      </c>
      <c r="Q71" t="s">
        <v>415</v>
      </c>
      <c r="R71">
        <v>388.6</v>
      </c>
      <c r="S71">
        <v>2</v>
      </c>
      <c r="T71">
        <v>0.3</v>
      </c>
      <c r="U71">
        <v>-63.9</v>
      </c>
    </row>
    <row r="72" spans="1:21" x14ac:dyDescent="0.35">
      <c r="A72" t="s">
        <v>416</v>
      </c>
      <c r="B72" s="2">
        <v>42753</v>
      </c>
      <c r="C72" s="2" t="str">
        <f t="shared" si="2"/>
        <v>January</v>
      </c>
      <c r="D72" s="2" t="str">
        <f t="shared" si="3"/>
        <v>2017</v>
      </c>
      <c r="E72" s="2" t="s">
        <v>6206</v>
      </c>
      <c r="F72" t="s">
        <v>20</v>
      </c>
      <c r="G72" t="s">
        <v>417</v>
      </c>
      <c r="H72" t="s">
        <v>418</v>
      </c>
      <c r="I72" t="s">
        <v>35</v>
      </c>
      <c r="J72" t="s">
        <v>24</v>
      </c>
      <c r="K72" t="s">
        <v>81</v>
      </c>
      <c r="L72" t="s">
        <v>36</v>
      </c>
      <c r="M72" t="s">
        <v>27</v>
      </c>
      <c r="N72" t="s">
        <v>419</v>
      </c>
      <c r="O72" t="s">
        <v>29</v>
      </c>
      <c r="P72" t="s">
        <v>30</v>
      </c>
      <c r="Q72" t="s">
        <v>420</v>
      </c>
      <c r="R72">
        <v>1563.23</v>
      </c>
      <c r="S72">
        <v>7</v>
      </c>
      <c r="T72">
        <v>0</v>
      </c>
      <c r="U72">
        <v>77.849999999999994</v>
      </c>
    </row>
    <row r="73" spans="1:21" x14ac:dyDescent="0.35">
      <c r="A73" t="s">
        <v>421</v>
      </c>
      <c r="B73" s="2">
        <v>43048</v>
      </c>
      <c r="C73" s="2" t="str">
        <f t="shared" si="2"/>
        <v>November</v>
      </c>
      <c r="D73" s="2" t="str">
        <f t="shared" si="3"/>
        <v>2017</v>
      </c>
      <c r="E73" s="2" t="s">
        <v>6039</v>
      </c>
      <c r="F73" t="s">
        <v>62</v>
      </c>
      <c r="G73" t="s">
        <v>422</v>
      </c>
      <c r="H73" t="s">
        <v>423</v>
      </c>
      <c r="I73" t="s">
        <v>23</v>
      </c>
      <c r="J73" t="s">
        <v>24</v>
      </c>
      <c r="K73" t="s">
        <v>45</v>
      </c>
      <c r="L73" t="s">
        <v>90</v>
      </c>
      <c r="M73" t="s">
        <v>83</v>
      </c>
      <c r="N73" t="s">
        <v>424</v>
      </c>
      <c r="O73" t="s">
        <v>48</v>
      </c>
      <c r="P73" t="s">
        <v>49</v>
      </c>
      <c r="Q73" t="s">
        <v>425</v>
      </c>
      <c r="R73">
        <v>1747.65</v>
      </c>
      <c r="S73">
        <v>4</v>
      </c>
      <c r="T73">
        <v>0.2</v>
      </c>
      <c r="U73">
        <v>722.63</v>
      </c>
    </row>
    <row r="74" spans="1:21" x14ac:dyDescent="0.35">
      <c r="A74" t="s">
        <v>426</v>
      </c>
      <c r="B74" s="2">
        <v>43529</v>
      </c>
      <c r="C74" s="2" t="str">
        <f t="shared" si="2"/>
        <v>March</v>
      </c>
      <c r="D74" s="2" t="str">
        <f t="shared" si="3"/>
        <v>2019</v>
      </c>
      <c r="E74" s="2">
        <v>43619</v>
      </c>
      <c r="F74" t="s">
        <v>52</v>
      </c>
      <c r="G74" t="s">
        <v>427</v>
      </c>
      <c r="H74" t="s">
        <v>428</v>
      </c>
      <c r="I74" t="s">
        <v>23</v>
      </c>
      <c r="J74" t="s">
        <v>24</v>
      </c>
      <c r="K74" t="s">
        <v>89</v>
      </c>
      <c r="L74" t="s">
        <v>26</v>
      </c>
      <c r="M74" t="s">
        <v>83</v>
      </c>
      <c r="N74" t="s">
        <v>429</v>
      </c>
      <c r="O74" t="s">
        <v>29</v>
      </c>
      <c r="P74" t="s">
        <v>155</v>
      </c>
      <c r="Q74" t="s">
        <v>430</v>
      </c>
      <c r="R74">
        <v>1190.9100000000001</v>
      </c>
      <c r="S74">
        <v>2</v>
      </c>
      <c r="T74">
        <v>0.3</v>
      </c>
      <c r="U74">
        <v>-306.41000000000003</v>
      </c>
    </row>
    <row r="75" spans="1:21" x14ac:dyDescent="0.35">
      <c r="A75" t="s">
        <v>431</v>
      </c>
      <c r="B75" s="2">
        <v>42887</v>
      </c>
      <c r="C75" s="2" t="str">
        <f t="shared" si="2"/>
        <v>June</v>
      </c>
      <c r="D75" s="2" t="str">
        <f t="shared" si="3"/>
        <v>2017</v>
      </c>
      <c r="E75" s="2">
        <v>43045</v>
      </c>
      <c r="F75" t="s">
        <v>52</v>
      </c>
      <c r="G75" t="s">
        <v>432</v>
      </c>
      <c r="H75" t="s">
        <v>433</v>
      </c>
      <c r="I75" t="s">
        <v>35</v>
      </c>
      <c r="J75" t="s">
        <v>24</v>
      </c>
      <c r="K75" t="s">
        <v>25</v>
      </c>
      <c r="L75" t="s">
        <v>170</v>
      </c>
      <c r="M75" t="s">
        <v>27</v>
      </c>
      <c r="N75" t="s">
        <v>434</v>
      </c>
      <c r="O75" t="s">
        <v>48</v>
      </c>
      <c r="P75" t="s">
        <v>128</v>
      </c>
      <c r="Q75" t="s">
        <v>435</v>
      </c>
      <c r="R75">
        <v>201.34</v>
      </c>
      <c r="S75">
        <v>7</v>
      </c>
      <c r="T75">
        <v>0.3</v>
      </c>
      <c r="U75">
        <v>-38.549999999999997</v>
      </c>
    </row>
    <row r="76" spans="1:21" x14ac:dyDescent="0.35">
      <c r="A76" t="s">
        <v>436</v>
      </c>
      <c r="B76" s="2">
        <v>42612</v>
      </c>
      <c r="C76" s="2" t="str">
        <f t="shared" si="2"/>
        <v>August</v>
      </c>
      <c r="D76" s="2" t="str">
        <f t="shared" si="3"/>
        <v>2016</v>
      </c>
      <c r="E76" s="2">
        <v>42378</v>
      </c>
      <c r="F76" t="s">
        <v>52</v>
      </c>
      <c r="G76" t="s">
        <v>437</v>
      </c>
      <c r="H76" t="s">
        <v>438</v>
      </c>
      <c r="I76" t="s">
        <v>23</v>
      </c>
      <c r="J76" t="s">
        <v>24</v>
      </c>
      <c r="K76" t="s">
        <v>89</v>
      </c>
      <c r="L76" t="s">
        <v>46</v>
      </c>
      <c r="M76" t="s">
        <v>57</v>
      </c>
      <c r="N76" t="s">
        <v>439</v>
      </c>
      <c r="O76" t="s">
        <v>67</v>
      </c>
      <c r="P76" t="s">
        <v>92</v>
      </c>
      <c r="Q76" t="s">
        <v>440</v>
      </c>
      <c r="R76">
        <v>332.4</v>
      </c>
      <c r="S76">
        <v>3</v>
      </c>
      <c r="T76">
        <v>0.3</v>
      </c>
      <c r="U76">
        <v>10.73</v>
      </c>
    </row>
    <row r="77" spans="1:21" x14ac:dyDescent="0.35">
      <c r="A77" t="s">
        <v>441</v>
      </c>
      <c r="B77" s="2">
        <v>43544</v>
      </c>
      <c r="C77" s="2" t="str">
        <f t="shared" si="2"/>
        <v>March</v>
      </c>
      <c r="D77" s="2" t="str">
        <f t="shared" si="3"/>
        <v>2019</v>
      </c>
      <c r="E77" s="2" t="s">
        <v>6207</v>
      </c>
      <c r="F77" t="s">
        <v>62</v>
      </c>
      <c r="G77" t="s">
        <v>442</v>
      </c>
      <c r="H77" t="s">
        <v>443</v>
      </c>
      <c r="I77" t="s">
        <v>35</v>
      </c>
      <c r="J77" t="s">
        <v>24</v>
      </c>
      <c r="K77" t="s">
        <v>89</v>
      </c>
      <c r="L77" t="s">
        <v>90</v>
      </c>
      <c r="M77" t="s">
        <v>74</v>
      </c>
      <c r="N77" t="s">
        <v>444</v>
      </c>
      <c r="O77" t="s">
        <v>29</v>
      </c>
      <c r="P77" t="s">
        <v>110</v>
      </c>
      <c r="Q77" t="s">
        <v>445</v>
      </c>
      <c r="R77">
        <v>1157.99</v>
      </c>
      <c r="S77">
        <v>1</v>
      </c>
      <c r="T77">
        <v>0</v>
      </c>
      <c r="U77">
        <v>-175.21</v>
      </c>
    </row>
    <row r="78" spans="1:21" x14ac:dyDescent="0.35">
      <c r="A78" t="s">
        <v>446</v>
      </c>
      <c r="B78" s="2">
        <v>43175</v>
      </c>
      <c r="C78" s="2" t="str">
        <f t="shared" si="2"/>
        <v>March</v>
      </c>
      <c r="D78" s="2" t="str">
        <f t="shared" si="3"/>
        <v>2018</v>
      </c>
      <c r="E78" s="2" t="s">
        <v>6121</v>
      </c>
      <c r="F78" t="s">
        <v>62</v>
      </c>
      <c r="G78" t="s">
        <v>447</v>
      </c>
      <c r="H78" t="s">
        <v>448</v>
      </c>
      <c r="I78" t="s">
        <v>35</v>
      </c>
      <c r="J78" t="s">
        <v>24</v>
      </c>
      <c r="K78" t="s">
        <v>25</v>
      </c>
      <c r="L78" t="s">
        <v>170</v>
      </c>
      <c r="M78" t="s">
        <v>83</v>
      </c>
      <c r="N78" t="s">
        <v>449</v>
      </c>
      <c r="O78" t="s">
        <v>67</v>
      </c>
      <c r="P78" t="s">
        <v>197</v>
      </c>
      <c r="Q78" t="s">
        <v>450</v>
      </c>
      <c r="R78">
        <v>190.01</v>
      </c>
      <c r="S78">
        <v>2</v>
      </c>
      <c r="T78">
        <v>0.3</v>
      </c>
      <c r="U78">
        <v>70.180000000000007</v>
      </c>
    </row>
    <row r="79" spans="1:21" x14ac:dyDescent="0.35">
      <c r="A79" t="s">
        <v>451</v>
      </c>
      <c r="B79" s="2">
        <v>43062</v>
      </c>
      <c r="C79" s="2" t="str">
        <f t="shared" si="2"/>
        <v>November</v>
      </c>
      <c r="D79" s="2" t="str">
        <f t="shared" si="3"/>
        <v>2017</v>
      </c>
      <c r="E79" s="2" t="s">
        <v>6130</v>
      </c>
      <c r="F79" t="s">
        <v>62</v>
      </c>
      <c r="G79" t="s">
        <v>452</v>
      </c>
      <c r="H79" t="s">
        <v>453</v>
      </c>
      <c r="I79" t="s">
        <v>23</v>
      </c>
      <c r="J79" t="s">
        <v>24</v>
      </c>
      <c r="K79" t="s">
        <v>133</v>
      </c>
      <c r="L79" t="s">
        <v>46</v>
      </c>
      <c r="M79" t="s">
        <v>57</v>
      </c>
      <c r="N79" t="s">
        <v>454</v>
      </c>
      <c r="O79" t="s">
        <v>67</v>
      </c>
      <c r="P79" t="s">
        <v>197</v>
      </c>
      <c r="Q79" t="s">
        <v>455</v>
      </c>
      <c r="R79">
        <v>1146.57</v>
      </c>
      <c r="S79">
        <v>4</v>
      </c>
      <c r="T79">
        <v>0.1</v>
      </c>
      <c r="U79">
        <v>67.569999999999993</v>
      </c>
    </row>
    <row r="80" spans="1:21" x14ac:dyDescent="0.35">
      <c r="A80" t="s">
        <v>456</v>
      </c>
      <c r="B80" s="2">
        <v>42717</v>
      </c>
      <c r="C80" s="2" t="str">
        <f t="shared" si="2"/>
        <v>December</v>
      </c>
      <c r="D80" s="2" t="str">
        <f t="shared" si="3"/>
        <v>2016</v>
      </c>
      <c r="E80" s="2" t="s">
        <v>6027</v>
      </c>
      <c r="F80" t="s">
        <v>52</v>
      </c>
      <c r="G80" t="s">
        <v>457</v>
      </c>
      <c r="H80" t="s">
        <v>458</v>
      </c>
      <c r="I80" t="s">
        <v>35</v>
      </c>
      <c r="J80" t="s">
        <v>24</v>
      </c>
      <c r="K80" t="s">
        <v>45</v>
      </c>
      <c r="L80" t="s">
        <v>26</v>
      </c>
      <c r="M80" t="s">
        <v>74</v>
      </c>
      <c r="N80" t="s">
        <v>459</v>
      </c>
      <c r="O80" t="s">
        <v>67</v>
      </c>
      <c r="P80" t="s">
        <v>197</v>
      </c>
      <c r="Q80" t="s">
        <v>460</v>
      </c>
      <c r="R80">
        <v>1907.03</v>
      </c>
      <c r="S80">
        <v>2</v>
      </c>
      <c r="T80">
        <v>0</v>
      </c>
      <c r="U80">
        <v>-530.38</v>
      </c>
    </row>
    <row r="81" spans="1:21" x14ac:dyDescent="0.35">
      <c r="A81" t="s">
        <v>461</v>
      </c>
      <c r="B81" s="2">
        <v>42667</v>
      </c>
      <c r="C81" s="2" t="str">
        <f t="shared" si="2"/>
        <v>October</v>
      </c>
      <c r="D81" s="2" t="str">
        <f t="shared" si="3"/>
        <v>2016</v>
      </c>
      <c r="E81" s="2" t="s">
        <v>6208</v>
      </c>
      <c r="F81" t="s">
        <v>52</v>
      </c>
      <c r="G81" t="s">
        <v>462</v>
      </c>
      <c r="H81" t="s">
        <v>463</v>
      </c>
      <c r="I81" t="s">
        <v>55</v>
      </c>
      <c r="J81" t="s">
        <v>24</v>
      </c>
      <c r="K81" t="s">
        <v>212</v>
      </c>
      <c r="L81" t="s">
        <v>36</v>
      </c>
      <c r="M81" t="s">
        <v>27</v>
      </c>
      <c r="N81" t="s">
        <v>464</v>
      </c>
      <c r="O81" t="s">
        <v>67</v>
      </c>
      <c r="P81" t="s">
        <v>229</v>
      </c>
      <c r="Q81" t="s">
        <v>465</v>
      </c>
      <c r="R81">
        <v>739.55</v>
      </c>
      <c r="S81">
        <v>1</v>
      </c>
      <c r="T81">
        <v>0</v>
      </c>
      <c r="U81">
        <v>-114.93</v>
      </c>
    </row>
    <row r="82" spans="1:21" x14ac:dyDescent="0.35">
      <c r="A82" t="s">
        <v>466</v>
      </c>
      <c r="B82" s="2">
        <v>42509</v>
      </c>
      <c r="C82" s="2" t="str">
        <f t="shared" si="2"/>
        <v>May</v>
      </c>
      <c r="D82" s="2" t="str">
        <f t="shared" si="3"/>
        <v>2016</v>
      </c>
      <c r="E82" s="2" t="s">
        <v>6209</v>
      </c>
      <c r="F82" t="s">
        <v>20</v>
      </c>
      <c r="G82" t="s">
        <v>467</v>
      </c>
      <c r="H82" t="s">
        <v>468</v>
      </c>
      <c r="I82" t="s">
        <v>35</v>
      </c>
      <c r="J82" t="s">
        <v>24</v>
      </c>
      <c r="K82" t="s">
        <v>97</v>
      </c>
      <c r="L82" t="s">
        <v>26</v>
      </c>
      <c r="M82" t="s">
        <v>57</v>
      </c>
      <c r="N82" t="s">
        <v>469</v>
      </c>
      <c r="O82" t="s">
        <v>29</v>
      </c>
      <c r="P82" t="s">
        <v>30</v>
      </c>
      <c r="Q82" t="s">
        <v>470</v>
      </c>
      <c r="R82">
        <v>651.9</v>
      </c>
      <c r="S82">
        <v>6</v>
      </c>
      <c r="T82">
        <v>0.1</v>
      </c>
      <c r="U82">
        <v>66.099999999999994</v>
      </c>
    </row>
    <row r="83" spans="1:21" x14ac:dyDescent="0.35">
      <c r="A83" t="s">
        <v>471</v>
      </c>
      <c r="B83" s="2">
        <v>42926</v>
      </c>
      <c r="C83" s="2" t="str">
        <f t="shared" si="2"/>
        <v>July</v>
      </c>
      <c r="D83" s="2" t="str">
        <f t="shared" si="3"/>
        <v>2017</v>
      </c>
      <c r="E83" s="2" t="s">
        <v>6210</v>
      </c>
      <c r="F83" t="s">
        <v>52</v>
      </c>
      <c r="G83" t="s">
        <v>472</v>
      </c>
      <c r="H83" t="s">
        <v>473</v>
      </c>
      <c r="I83" t="s">
        <v>35</v>
      </c>
      <c r="J83" t="s">
        <v>24</v>
      </c>
      <c r="K83" t="s">
        <v>133</v>
      </c>
      <c r="L83" t="s">
        <v>36</v>
      </c>
      <c r="M83" t="s">
        <v>83</v>
      </c>
      <c r="N83" t="s">
        <v>474</v>
      </c>
      <c r="O83" t="s">
        <v>67</v>
      </c>
      <c r="P83" t="s">
        <v>117</v>
      </c>
      <c r="Q83" t="s">
        <v>475</v>
      </c>
      <c r="R83">
        <v>356.17</v>
      </c>
      <c r="S83">
        <v>5</v>
      </c>
      <c r="T83">
        <v>0</v>
      </c>
      <c r="U83">
        <v>84.92</v>
      </c>
    </row>
    <row r="84" spans="1:21" x14ac:dyDescent="0.35">
      <c r="A84" t="s">
        <v>476</v>
      </c>
      <c r="B84" s="2">
        <v>42487</v>
      </c>
      <c r="C84" s="2" t="str">
        <f t="shared" si="2"/>
        <v>April</v>
      </c>
      <c r="D84" s="2" t="str">
        <f t="shared" si="3"/>
        <v>2016</v>
      </c>
      <c r="E84" s="2">
        <v>42465</v>
      </c>
      <c r="F84" t="s">
        <v>42</v>
      </c>
      <c r="G84" t="s">
        <v>477</v>
      </c>
      <c r="H84" t="s">
        <v>478</v>
      </c>
      <c r="I84" t="s">
        <v>55</v>
      </c>
      <c r="J84" t="s">
        <v>24</v>
      </c>
      <c r="K84" t="s">
        <v>73</v>
      </c>
      <c r="L84" t="s">
        <v>65</v>
      </c>
      <c r="M84" t="s">
        <v>83</v>
      </c>
      <c r="N84" t="s">
        <v>479</v>
      </c>
      <c r="O84" t="s">
        <v>67</v>
      </c>
      <c r="P84" t="s">
        <v>92</v>
      </c>
      <c r="Q84" t="s">
        <v>480</v>
      </c>
      <c r="R84">
        <v>1460.76</v>
      </c>
      <c r="S84">
        <v>2</v>
      </c>
      <c r="T84">
        <v>0</v>
      </c>
      <c r="U84">
        <v>-161.28</v>
      </c>
    </row>
    <row r="85" spans="1:21" x14ac:dyDescent="0.35">
      <c r="A85" t="s">
        <v>481</v>
      </c>
      <c r="B85" s="2">
        <v>43342</v>
      </c>
      <c r="C85" s="2" t="str">
        <f t="shared" si="2"/>
        <v>August</v>
      </c>
      <c r="D85" s="2" t="str">
        <f t="shared" si="3"/>
        <v>2018</v>
      </c>
      <c r="E85" s="2">
        <v>43352</v>
      </c>
      <c r="F85" t="s">
        <v>62</v>
      </c>
      <c r="G85" t="s">
        <v>482</v>
      </c>
      <c r="H85" t="s">
        <v>483</v>
      </c>
      <c r="I85" t="s">
        <v>55</v>
      </c>
      <c r="J85" t="s">
        <v>24</v>
      </c>
      <c r="K85" t="s">
        <v>73</v>
      </c>
      <c r="L85" t="s">
        <v>90</v>
      </c>
      <c r="M85" t="s">
        <v>83</v>
      </c>
      <c r="N85" t="s">
        <v>484</v>
      </c>
      <c r="O85" t="s">
        <v>29</v>
      </c>
      <c r="P85" t="s">
        <v>155</v>
      </c>
      <c r="Q85" t="s">
        <v>485</v>
      </c>
      <c r="R85">
        <v>157.63999999999999</v>
      </c>
      <c r="S85">
        <v>9</v>
      </c>
      <c r="T85">
        <v>0</v>
      </c>
      <c r="U85">
        <v>-0.09</v>
      </c>
    </row>
    <row r="86" spans="1:21" x14ac:dyDescent="0.35">
      <c r="A86" t="s">
        <v>486</v>
      </c>
      <c r="B86" s="2">
        <v>42959</v>
      </c>
      <c r="C86" s="2" t="str">
        <f t="shared" si="2"/>
        <v>August</v>
      </c>
      <c r="D86" s="2" t="str">
        <f t="shared" si="3"/>
        <v>2017</v>
      </c>
      <c r="E86" s="2" t="s">
        <v>6211</v>
      </c>
      <c r="F86" t="s">
        <v>20</v>
      </c>
      <c r="G86" t="s">
        <v>487</v>
      </c>
      <c r="H86" t="s">
        <v>488</v>
      </c>
      <c r="I86" t="s">
        <v>35</v>
      </c>
      <c r="J86" t="s">
        <v>24</v>
      </c>
      <c r="K86" t="s">
        <v>73</v>
      </c>
      <c r="L86" t="s">
        <v>37</v>
      </c>
      <c r="M86" t="s">
        <v>27</v>
      </c>
      <c r="N86" t="s">
        <v>489</v>
      </c>
      <c r="O86" t="s">
        <v>29</v>
      </c>
      <c r="P86" t="s">
        <v>110</v>
      </c>
      <c r="Q86" t="s">
        <v>490</v>
      </c>
      <c r="R86">
        <v>1078.27</v>
      </c>
      <c r="S86">
        <v>4</v>
      </c>
      <c r="T86">
        <v>0</v>
      </c>
      <c r="U86">
        <v>-219.41</v>
      </c>
    </row>
    <row r="87" spans="1:21" x14ac:dyDescent="0.35">
      <c r="A87" t="s">
        <v>491</v>
      </c>
      <c r="B87" s="2">
        <v>43090</v>
      </c>
      <c r="C87" s="2" t="str">
        <f t="shared" si="2"/>
        <v>December</v>
      </c>
      <c r="D87" s="2" t="str">
        <f t="shared" si="3"/>
        <v>2017</v>
      </c>
      <c r="E87" s="2" t="s">
        <v>6212</v>
      </c>
      <c r="F87" t="s">
        <v>20</v>
      </c>
      <c r="G87" t="s">
        <v>492</v>
      </c>
      <c r="H87" t="s">
        <v>493</v>
      </c>
      <c r="I87" t="s">
        <v>35</v>
      </c>
      <c r="J87" t="s">
        <v>24</v>
      </c>
      <c r="K87" t="s">
        <v>81</v>
      </c>
      <c r="L87" t="s">
        <v>82</v>
      </c>
      <c r="M87" t="s">
        <v>74</v>
      </c>
      <c r="N87" t="s">
        <v>494</v>
      </c>
      <c r="O87" t="s">
        <v>29</v>
      </c>
      <c r="P87" t="s">
        <v>30</v>
      </c>
      <c r="Q87" t="s">
        <v>495</v>
      </c>
      <c r="R87">
        <v>1504.5</v>
      </c>
      <c r="S87">
        <v>10</v>
      </c>
      <c r="T87">
        <v>0</v>
      </c>
      <c r="U87">
        <v>220.93</v>
      </c>
    </row>
    <row r="88" spans="1:21" x14ac:dyDescent="0.35">
      <c r="A88" t="s">
        <v>496</v>
      </c>
      <c r="B88" s="2">
        <v>42919</v>
      </c>
      <c r="C88" s="2" t="str">
        <f t="shared" si="2"/>
        <v>July</v>
      </c>
      <c r="D88" s="2" t="str">
        <f t="shared" si="3"/>
        <v>2017</v>
      </c>
      <c r="E88" s="2">
        <v>42985</v>
      </c>
      <c r="F88" t="s">
        <v>42</v>
      </c>
      <c r="G88" t="s">
        <v>497</v>
      </c>
      <c r="H88" t="s">
        <v>498</v>
      </c>
      <c r="I88" t="s">
        <v>35</v>
      </c>
      <c r="J88" t="s">
        <v>24</v>
      </c>
      <c r="K88" t="s">
        <v>25</v>
      </c>
      <c r="L88" t="s">
        <v>46</v>
      </c>
      <c r="M88" t="s">
        <v>74</v>
      </c>
      <c r="N88" t="s">
        <v>499</v>
      </c>
      <c r="O88" t="s">
        <v>29</v>
      </c>
      <c r="P88" t="s">
        <v>155</v>
      </c>
      <c r="Q88" t="s">
        <v>500</v>
      </c>
      <c r="R88">
        <v>1324.3</v>
      </c>
      <c r="S88">
        <v>10</v>
      </c>
      <c r="T88">
        <v>0.4</v>
      </c>
      <c r="U88">
        <v>618.25</v>
      </c>
    </row>
    <row r="89" spans="1:21" x14ac:dyDescent="0.35">
      <c r="A89" t="s">
        <v>501</v>
      </c>
      <c r="B89" s="2">
        <v>42540</v>
      </c>
      <c r="C89" s="2" t="str">
        <f t="shared" si="2"/>
        <v>June</v>
      </c>
      <c r="D89" s="2" t="str">
        <f t="shared" si="3"/>
        <v>2016</v>
      </c>
      <c r="E89" s="2" t="s">
        <v>5986</v>
      </c>
      <c r="F89" t="s">
        <v>20</v>
      </c>
      <c r="G89" t="s">
        <v>502</v>
      </c>
      <c r="H89" t="s">
        <v>503</v>
      </c>
      <c r="I89" t="s">
        <v>55</v>
      </c>
      <c r="J89" t="s">
        <v>24</v>
      </c>
      <c r="K89" t="s">
        <v>81</v>
      </c>
      <c r="L89" t="s">
        <v>37</v>
      </c>
      <c r="M89" t="s">
        <v>57</v>
      </c>
      <c r="N89" t="s">
        <v>504</v>
      </c>
      <c r="O89" t="s">
        <v>67</v>
      </c>
      <c r="P89" t="s">
        <v>92</v>
      </c>
      <c r="Q89" t="s">
        <v>505</v>
      </c>
      <c r="R89">
        <v>1461.52</v>
      </c>
      <c r="S89">
        <v>1</v>
      </c>
      <c r="T89">
        <v>0.2</v>
      </c>
      <c r="U89">
        <v>-203.31</v>
      </c>
    </row>
    <row r="90" spans="1:21" x14ac:dyDescent="0.35">
      <c r="A90" t="s">
        <v>506</v>
      </c>
      <c r="B90" s="2">
        <v>43748</v>
      </c>
      <c r="C90" s="2" t="str">
        <f t="shared" si="2"/>
        <v>October</v>
      </c>
      <c r="D90" s="2" t="str">
        <f t="shared" si="3"/>
        <v>2019</v>
      </c>
      <c r="E90" s="2" t="s">
        <v>6168</v>
      </c>
      <c r="F90" t="s">
        <v>20</v>
      </c>
      <c r="G90" t="s">
        <v>507</v>
      </c>
      <c r="H90" t="s">
        <v>508</v>
      </c>
      <c r="I90" t="s">
        <v>35</v>
      </c>
      <c r="J90" t="s">
        <v>24</v>
      </c>
      <c r="K90" t="s">
        <v>97</v>
      </c>
      <c r="L90" t="s">
        <v>65</v>
      </c>
      <c r="M90" t="s">
        <v>83</v>
      </c>
      <c r="N90" t="s">
        <v>509</v>
      </c>
      <c r="O90" t="s">
        <v>48</v>
      </c>
      <c r="P90" t="s">
        <v>128</v>
      </c>
      <c r="Q90" t="s">
        <v>510</v>
      </c>
      <c r="R90">
        <v>483.43</v>
      </c>
      <c r="S90">
        <v>2</v>
      </c>
      <c r="T90">
        <v>0</v>
      </c>
      <c r="U90">
        <v>-109.57</v>
      </c>
    </row>
    <row r="91" spans="1:21" x14ac:dyDescent="0.35">
      <c r="A91" t="s">
        <v>511</v>
      </c>
      <c r="B91" s="2">
        <v>43106</v>
      </c>
      <c r="C91" s="2" t="str">
        <f t="shared" si="2"/>
        <v>January</v>
      </c>
      <c r="D91" s="2" t="str">
        <f t="shared" si="3"/>
        <v>2018</v>
      </c>
      <c r="E91" s="2">
        <v>43344</v>
      </c>
      <c r="F91" t="s">
        <v>52</v>
      </c>
      <c r="G91" t="s">
        <v>512</v>
      </c>
      <c r="H91" t="s">
        <v>513</v>
      </c>
      <c r="I91" t="s">
        <v>23</v>
      </c>
      <c r="J91" t="s">
        <v>24</v>
      </c>
      <c r="K91" t="s">
        <v>25</v>
      </c>
      <c r="L91" t="s">
        <v>37</v>
      </c>
      <c r="M91" t="s">
        <v>83</v>
      </c>
      <c r="N91" t="s">
        <v>514</v>
      </c>
      <c r="O91" t="s">
        <v>29</v>
      </c>
      <c r="P91" t="s">
        <v>110</v>
      </c>
      <c r="Q91" t="s">
        <v>401</v>
      </c>
      <c r="R91">
        <v>811.12</v>
      </c>
      <c r="S91">
        <v>9</v>
      </c>
      <c r="T91">
        <v>0.1</v>
      </c>
      <c r="U91">
        <v>266.77</v>
      </c>
    </row>
    <row r="92" spans="1:21" x14ac:dyDescent="0.35">
      <c r="A92" t="s">
        <v>515</v>
      </c>
      <c r="B92" s="2">
        <v>42738</v>
      </c>
      <c r="C92" s="2" t="str">
        <f t="shared" si="2"/>
        <v>January</v>
      </c>
      <c r="D92" s="2" t="str">
        <f t="shared" si="3"/>
        <v>2017</v>
      </c>
      <c r="E92" s="2">
        <v>43040</v>
      </c>
      <c r="F92" t="s">
        <v>42</v>
      </c>
      <c r="G92" t="s">
        <v>516</v>
      </c>
      <c r="H92" t="s">
        <v>517</v>
      </c>
      <c r="I92" t="s">
        <v>23</v>
      </c>
      <c r="J92" t="s">
        <v>24</v>
      </c>
      <c r="K92" t="s">
        <v>73</v>
      </c>
      <c r="L92" t="s">
        <v>37</v>
      </c>
      <c r="M92" t="s">
        <v>83</v>
      </c>
      <c r="N92" t="s">
        <v>518</v>
      </c>
      <c r="O92" t="s">
        <v>67</v>
      </c>
      <c r="P92" t="s">
        <v>68</v>
      </c>
      <c r="Q92" t="s">
        <v>519</v>
      </c>
      <c r="R92">
        <v>1088.4000000000001</v>
      </c>
      <c r="S92">
        <v>7</v>
      </c>
      <c r="T92">
        <v>0.4</v>
      </c>
      <c r="U92">
        <v>32</v>
      </c>
    </row>
    <row r="93" spans="1:21" x14ac:dyDescent="0.35">
      <c r="A93" t="s">
        <v>520</v>
      </c>
      <c r="B93" s="2">
        <v>42611</v>
      </c>
      <c r="C93" s="2" t="str">
        <f t="shared" si="2"/>
        <v>August</v>
      </c>
      <c r="D93" s="2" t="str">
        <f t="shared" si="3"/>
        <v>2016</v>
      </c>
      <c r="E93" s="2" t="s">
        <v>5923</v>
      </c>
      <c r="F93" t="s">
        <v>52</v>
      </c>
      <c r="G93" t="s">
        <v>521</v>
      </c>
      <c r="H93" t="s">
        <v>522</v>
      </c>
      <c r="I93" t="s">
        <v>35</v>
      </c>
      <c r="J93" t="s">
        <v>24</v>
      </c>
      <c r="K93" t="s">
        <v>45</v>
      </c>
      <c r="L93" t="s">
        <v>36</v>
      </c>
      <c r="M93" t="s">
        <v>27</v>
      </c>
      <c r="N93" t="s">
        <v>523</v>
      </c>
      <c r="O93" t="s">
        <v>48</v>
      </c>
      <c r="P93" t="s">
        <v>128</v>
      </c>
      <c r="Q93" t="s">
        <v>524</v>
      </c>
      <c r="R93">
        <v>744.42</v>
      </c>
      <c r="S93">
        <v>2</v>
      </c>
      <c r="T93">
        <v>0.1</v>
      </c>
      <c r="U93">
        <v>214.82</v>
      </c>
    </row>
    <row r="94" spans="1:21" x14ac:dyDescent="0.35">
      <c r="A94" t="s">
        <v>525</v>
      </c>
      <c r="B94" s="2">
        <v>43369</v>
      </c>
      <c r="C94" s="2" t="str">
        <f t="shared" si="2"/>
        <v>September</v>
      </c>
      <c r="D94" s="2" t="str">
        <f t="shared" si="3"/>
        <v>2018</v>
      </c>
      <c r="E94" s="2">
        <v>43110</v>
      </c>
      <c r="F94" t="s">
        <v>20</v>
      </c>
      <c r="G94" t="s">
        <v>526</v>
      </c>
      <c r="H94" t="s">
        <v>527</v>
      </c>
      <c r="I94" t="s">
        <v>35</v>
      </c>
      <c r="J94" t="s">
        <v>24</v>
      </c>
      <c r="K94" t="s">
        <v>81</v>
      </c>
      <c r="L94" t="s">
        <v>82</v>
      </c>
      <c r="M94" t="s">
        <v>27</v>
      </c>
      <c r="N94" t="s">
        <v>528</v>
      </c>
      <c r="O94" t="s">
        <v>29</v>
      </c>
      <c r="P94" t="s">
        <v>110</v>
      </c>
      <c r="Q94" t="s">
        <v>529</v>
      </c>
      <c r="R94">
        <v>1234.8599999999999</v>
      </c>
      <c r="S94">
        <v>9</v>
      </c>
      <c r="T94">
        <v>0</v>
      </c>
      <c r="U94">
        <v>142.13999999999999</v>
      </c>
    </row>
    <row r="95" spans="1:21" x14ac:dyDescent="0.35">
      <c r="A95" t="s">
        <v>530</v>
      </c>
      <c r="B95" s="2">
        <v>43396</v>
      </c>
      <c r="C95" s="2" t="str">
        <f t="shared" si="2"/>
        <v>October</v>
      </c>
      <c r="D95" s="2" t="str">
        <f t="shared" si="3"/>
        <v>2018</v>
      </c>
      <c r="E95" s="2" t="s">
        <v>5910</v>
      </c>
      <c r="F95" t="s">
        <v>62</v>
      </c>
      <c r="G95" t="s">
        <v>531</v>
      </c>
      <c r="H95" t="s">
        <v>206</v>
      </c>
      <c r="I95" t="s">
        <v>23</v>
      </c>
      <c r="J95" t="s">
        <v>24</v>
      </c>
      <c r="K95" t="s">
        <v>103</v>
      </c>
      <c r="L95" t="s">
        <v>46</v>
      </c>
      <c r="M95" t="s">
        <v>83</v>
      </c>
      <c r="N95" t="s">
        <v>532</v>
      </c>
      <c r="O95" t="s">
        <v>67</v>
      </c>
      <c r="P95" t="s">
        <v>117</v>
      </c>
      <c r="Q95" t="s">
        <v>533</v>
      </c>
      <c r="R95">
        <v>1295.94</v>
      </c>
      <c r="S95">
        <v>2</v>
      </c>
      <c r="T95">
        <v>0</v>
      </c>
      <c r="U95">
        <v>303.17</v>
      </c>
    </row>
    <row r="96" spans="1:21" x14ac:dyDescent="0.35">
      <c r="A96" t="s">
        <v>534</v>
      </c>
      <c r="B96" s="2">
        <v>43085</v>
      </c>
      <c r="C96" s="2" t="str">
        <f t="shared" si="2"/>
        <v>December</v>
      </c>
      <c r="D96" s="2" t="str">
        <f t="shared" si="3"/>
        <v>2017</v>
      </c>
      <c r="E96" s="2" t="s">
        <v>6070</v>
      </c>
      <c r="F96" t="s">
        <v>52</v>
      </c>
      <c r="G96" t="s">
        <v>535</v>
      </c>
      <c r="H96" t="s">
        <v>536</v>
      </c>
      <c r="I96" t="s">
        <v>55</v>
      </c>
      <c r="J96" t="s">
        <v>24</v>
      </c>
      <c r="K96" t="s">
        <v>212</v>
      </c>
      <c r="L96" t="s">
        <v>82</v>
      </c>
      <c r="M96" t="s">
        <v>83</v>
      </c>
      <c r="N96" t="s">
        <v>537</v>
      </c>
      <c r="O96" t="s">
        <v>29</v>
      </c>
      <c r="P96" t="s">
        <v>110</v>
      </c>
      <c r="Q96" t="s">
        <v>538</v>
      </c>
      <c r="R96">
        <v>1258.5899999999999</v>
      </c>
      <c r="S96">
        <v>4</v>
      </c>
      <c r="T96">
        <v>0</v>
      </c>
      <c r="U96">
        <v>434.76</v>
      </c>
    </row>
    <row r="97" spans="1:21" x14ac:dyDescent="0.35">
      <c r="A97" t="s">
        <v>539</v>
      </c>
      <c r="B97" s="2">
        <v>43195</v>
      </c>
      <c r="C97" s="2" t="str">
        <f t="shared" si="2"/>
        <v>April</v>
      </c>
      <c r="D97" s="2" t="str">
        <f t="shared" si="3"/>
        <v>2018</v>
      </c>
      <c r="E97" s="2">
        <v>43255</v>
      </c>
      <c r="F97" t="s">
        <v>62</v>
      </c>
      <c r="G97" t="s">
        <v>540</v>
      </c>
      <c r="H97" t="s">
        <v>541</v>
      </c>
      <c r="I97" t="s">
        <v>23</v>
      </c>
      <c r="J97" t="s">
        <v>24</v>
      </c>
      <c r="K97" t="s">
        <v>45</v>
      </c>
      <c r="L97" t="s">
        <v>46</v>
      </c>
      <c r="M97" t="s">
        <v>27</v>
      </c>
      <c r="N97" t="s">
        <v>542</v>
      </c>
      <c r="O97" t="s">
        <v>67</v>
      </c>
      <c r="P97" t="s">
        <v>197</v>
      </c>
      <c r="Q97" t="s">
        <v>543</v>
      </c>
      <c r="R97">
        <v>1867.68</v>
      </c>
      <c r="S97">
        <v>5</v>
      </c>
      <c r="T97">
        <v>0.2</v>
      </c>
      <c r="U97">
        <v>737.02</v>
      </c>
    </row>
    <row r="98" spans="1:21" x14ac:dyDescent="0.35">
      <c r="A98" t="s">
        <v>544</v>
      </c>
      <c r="B98" s="2">
        <v>42806</v>
      </c>
      <c r="C98" s="2" t="str">
        <f t="shared" si="2"/>
        <v>March</v>
      </c>
      <c r="D98" s="2" t="str">
        <f t="shared" si="3"/>
        <v>2017</v>
      </c>
      <c r="E98" s="2" t="s">
        <v>6134</v>
      </c>
      <c r="F98" t="s">
        <v>42</v>
      </c>
      <c r="G98" t="s">
        <v>545</v>
      </c>
      <c r="H98" t="s">
        <v>546</v>
      </c>
      <c r="I98" t="s">
        <v>35</v>
      </c>
      <c r="J98" t="s">
        <v>24</v>
      </c>
      <c r="K98" t="s">
        <v>81</v>
      </c>
      <c r="L98" t="s">
        <v>46</v>
      </c>
      <c r="M98" t="s">
        <v>57</v>
      </c>
      <c r="N98" t="s">
        <v>547</v>
      </c>
      <c r="O98" t="s">
        <v>48</v>
      </c>
      <c r="P98" t="s">
        <v>49</v>
      </c>
      <c r="Q98" t="s">
        <v>548</v>
      </c>
      <c r="R98">
        <v>843.38</v>
      </c>
      <c r="S98">
        <v>2</v>
      </c>
      <c r="T98">
        <v>0</v>
      </c>
      <c r="U98">
        <v>284.45999999999998</v>
      </c>
    </row>
    <row r="99" spans="1:21" x14ac:dyDescent="0.35">
      <c r="A99" t="s">
        <v>549</v>
      </c>
      <c r="B99" s="2">
        <v>42486</v>
      </c>
      <c r="C99" s="2" t="str">
        <f t="shared" si="2"/>
        <v>April</v>
      </c>
      <c r="D99" s="2" t="str">
        <f t="shared" si="3"/>
        <v>2016</v>
      </c>
      <c r="E99" s="2" t="s">
        <v>6213</v>
      </c>
      <c r="F99" t="s">
        <v>42</v>
      </c>
      <c r="G99" t="s">
        <v>550</v>
      </c>
      <c r="H99" t="s">
        <v>551</v>
      </c>
      <c r="I99" t="s">
        <v>35</v>
      </c>
      <c r="J99" t="s">
        <v>24</v>
      </c>
      <c r="K99" t="s">
        <v>133</v>
      </c>
      <c r="L99" t="s">
        <v>36</v>
      </c>
      <c r="M99" t="s">
        <v>27</v>
      </c>
      <c r="N99" t="s">
        <v>552</v>
      </c>
      <c r="O99" t="s">
        <v>48</v>
      </c>
      <c r="P99" t="s">
        <v>76</v>
      </c>
      <c r="Q99" t="s">
        <v>553</v>
      </c>
      <c r="R99">
        <v>254.34</v>
      </c>
      <c r="S99">
        <v>6</v>
      </c>
      <c r="T99">
        <v>0.1</v>
      </c>
      <c r="U99">
        <v>91.52</v>
      </c>
    </row>
    <row r="100" spans="1:21" x14ac:dyDescent="0.35">
      <c r="A100" t="s">
        <v>554</v>
      </c>
      <c r="B100" s="2">
        <v>42396</v>
      </c>
      <c r="C100" s="2" t="str">
        <f t="shared" si="2"/>
        <v>January</v>
      </c>
      <c r="D100" s="2" t="str">
        <f t="shared" si="3"/>
        <v>2016</v>
      </c>
      <c r="E100" s="2" t="s">
        <v>6214</v>
      </c>
      <c r="F100" t="s">
        <v>20</v>
      </c>
      <c r="G100" t="s">
        <v>555</v>
      </c>
      <c r="H100" t="s">
        <v>556</v>
      </c>
      <c r="I100" t="s">
        <v>35</v>
      </c>
      <c r="J100" t="s">
        <v>24</v>
      </c>
      <c r="K100" t="s">
        <v>25</v>
      </c>
      <c r="L100" t="s">
        <v>115</v>
      </c>
      <c r="M100" t="s">
        <v>57</v>
      </c>
      <c r="N100" t="s">
        <v>557</v>
      </c>
      <c r="O100" t="s">
        <v>29</v>
      </c>
      <c r="P100" t="s">
        <v>30</v>
      </c>
      <c r="Q100" t="s">
        <v>558</v>
      </c>
      <c r="R100">
        <v>1289.5899999999999</v>
      </c>
      <c r="S100">
        <v>1</v>
      </c>
      <c r="T100">
        <v>0.3</v>
      </c>
      <c r="U100">
        <v>526.74</v>
      </c>
    </row>
    <row r="101" spans="1:21" x14ac:dyDescent="0.35">
      <c r="A101" t="s">
        <v>559</v>
      </c>
      <c r="B101" s="2">
        <v>43654</v>
      </c>
      <c r="C101" s="2" t="str">
        <f t="shared" si="2"/>
        <v>July</v>
      </c>
      <c r="D101" s="2" t="str">
        <f t="shared" si="3"/>
        <v>2019</v>
      </c>
      <c r="E101" s="2">
        <v>43715</v>
      </c>
      <c r="F101" t="s">
        <v>62</v>
      </c>
      <c r="G101" t="s">
        <v>560</v>
      </c>
      <c r="H101" t="s">
        <v>561</v>
      </c>
      <c r="I101" t="s">
        <v>35</v>
      </c>
      <c r="J101" t="s">
        <v>24</v>
      </c>
      <c r="K101" t="s">
        <v>133</v>
      </c>
      <c r="L101" t="s">
        <v>36</v>
      </c>
      <c r="M101" t="s">
        <v>74</v>
      </c>
      <c r="N101" t="s">
        <v>562</v>
      </c>
      <c r="O101" t="s">
        <v>29</v>
      </c>
      <c r="P101" t="s">
        <v>155</v>
      </c>
      <c r="Q101" t="s">
        <v>563</v>
      </c>
      <c r="R101">
        <v>210.24</v>
      </c>
      <c r="S101">
        <v>10</v>
      </c>
      <c r="T101">
        <v>0</v>
      </c>
      <c r="U101">
        <v>-51.43</v>
      </c>
    </row>
    <row r="102" spans="1:21" x14ac:dyDescent="0.35">
      <c r="A102" t="s">
        <v>564</v>
      </c>
      <c r="B102" s="2">
        <v>43132</v>
      </c>
      <c r="C102" s="2" t="str">
        <f t="shared" si="2"/>
        <v>February</v>
      </c>
      <c r="D102" s="2" t="str">
        <f t="shared" si="3"/>
        <v>2018</v>
      </c>
      <c r="E102" s="2">
        <v>43222</v>
      </c>
      <c r="F102" t="s">
        <v>52</v>
      </c>
      <c r="G102" t="s">
        <v>565</v>
      </c>
      <c r="H102" t="s">
        <v>566</v>
      </c>
      <c r="I102" t="s">
        <v>35</v>
      </c>
      <c r="J102" t="s">
        <v>24</v>
      </c>
      <c r="K102" t="s">
        <v>97</v>
      </c>
      <c r="L102" t="s">
        <v>115</v>
      </c>
      <c r="M102" t="s">
        <v>27</v>
      </c>
      <c r="N102" t="s">
        <v>567</v>
      </c>
      <c r="O102" t="s">
        <v>67</v>
      </c>
      <c r="P102" t="s">
        <v>229</v>
      </c>
      <c r="Q102" t="s">
        <v>568</v>
      </c>
      <c r="R102">
        <v>885.92</v>
      </c>
      <c r="S102">
        <v>2</v>
      </c>
      <c r="T102">
        <v>0</v>
      </c>
      <c r="U102">
        <v>379.4</v>
      </c>
    </row>
    <row r="103" spans="1:21" x14ac:dyDescent="0.35">
      <c r="A103" t="s">
        <v>569</v>
      </c>
      <c r="B103" s="2">
        <v>43645</v>
      </c>
      <c r="C103" s="2" t="str">
        <f t="shared" si="2"/>
        <v>June</v>
      </c>
      <c r="D103" s="2" t="str">
        <f t="shared" si="3"/>
        <v>2019</v>
      </c>
      <c r="E103" s="2">
        <v>43503</v>
      </c>
      <c r="F103" t="s">
        <v>52</v>
      </c>
      <c r="G103" t="s">
        <v>570</v>
      </c>
      <c r="H103" t="s">
        <v>571</v>
      </c>
      <c r="I103" t="s">
        <v>23</v>
      </c>
      <c r="J103" t="s">
        <v>24</v>
      </c>
      <c r="K103" t="s">
        <v>212</v>
      </c>
      <c r="L103" t="s">
        <v>170</v>
      </c>
      <c r="M103" t="s">
        <v>83</v>
      </c>
      <c r="N103" t="s">
        <v>572</v>
      </c>
      <c r="O103" t="s">
        <v>48</v>
      </c>
      <c r="P103" t="s">
        <v>59</v>
      </c>
      <c r="Q103" t="s">
        <v>573</v>
      </c>
      <c r="R103">
        <v>1715.91</v>
      </c>
      <c r="S103">
        <v>3</v>
      </c>
      <c r="T103">
        <v>0.1</v>
      </c>
      <c r="U103">
        <v>178.03</v>
      </c>
    </row>
    <row r="104" spans="1:21" x14ac:dyDescent="0.35">
      <c r="A104" t="s">
        <v>574</v>
      </c>
      <c r="B104" s="2">
        <v>42907</v>
      </c>
      <c r="C104" s="2" t="str">
        <f t="shared" si="2"/>
        <v>June</v>
      </c>
      <c r="D104" s="2" t="str">
        <f t="shared" si="3"/>
        <v>2017</v>
      </c>
      <c r="E104" s="2" t="s">
        <v>6215</v>
      </c>
      <c r="F104" t="s">
        <v>52</v>
      </c>
      <c r="G104" t="s">
        <v>575</v>
      </c>
      <c r="H104" t="s">
        <v>576</v>
      </c>
      <c r="I104" t="s">
        <v>23</v>
      </c>
      <c r="J104" t="s">
        <v>24</v>
      </c>
      <c r="K104" t="s">
        <v>103</v>
      </c>
      <c r="L104" t="s">
        <v>37</v>
      </c>
      <c r="M104" t="s">
        <v>27</v>
      </c>
      <c r="N104" t="s">
        <v>577</v>
      </c>
      <c r="O104" t="s">
        <v>67</v>
      </c>
      <c r="P104" t="s">
        <v>350</v>
      </c>
      <c r="Q104" t="s">
        <v>578</v>
      </c>
      <c r="R104">
        <v>1573.53</v>
      </c>
      <c r="S104">
        <v>10</v>
      </c>
      <c r="T104">
        <v>0.4</v>
      </c>
      <c r="U104">
        <v>504.19</v>
      </c>
    </row>
    <row r="105" spans="1:21" x14ac:dyDescent="0.35">
      <c r="A105" t="s">
        <v>579</v>
      </c>
      <c r="B105" s="2">
        <v>42920</v>
      </c>
      <c r="C105" s="2" t="str">
        <f t="shared" si="2"/>
        <v>July</v>
      </c>
      <c r="D105" s="2" t="str">
        <f t="shared" si="3"/>
        <v>2017</v>
      </c>
      <c r="E105" s="2">
        <v>42985</v>
      </c>
      <c r="F105" t="s">
        <v>52</v>
      </c>
      <c r="G105" t="s">
        <v>580</v>
      </c>
      <c r="H105" t="s">
        <v>581</v>
      </c>
      <c r="I105" t="s">
        <v>55</v>
      </c>
      <c r="J105" t="s">
        <v>24</v>
      </c>
      <c r="K105" t="s">
        <v>103</v>
      </c>
      <c r="L105" t="s">
        <v>115</v>
      </c>
      <c r="M105" t="s">
        <v>57</v>
      </c>
      <c r="N105" t="s">
        <v>582</v>
      </c>
      <c r="O105" t="s">
        <v>67</v>
      </c>
      <c r="P105" t="s">
        <v>197</v>
      </c>
      <c r="Q105" t="s">
        <v>583</v>
      </c>
      <c r="R105">
        <v>1456.22</v>
      </c>
      <c r="S105">
        <v>10</v>
      </c>
      <c r="T105">
        <v>0</v>
      </c>
      <c r="U105">
        <v>367.28</v>
      </c>
    </row>
    <row r="106" spans="1:21" x14ac:dyDescent="0.35">
      <c r="A106" t="s">
        <v>584</v>
      </c>
      <c r="B106" s="2">
        <v>43143</v>
      </c>
      <c r="C106" s="2" t="str">
        <f t="shared" si="2"/>
        <v>February</v>
      </c>
      <c r="D106" s="2" t="str">
        <f t="shared" si="3"/>
        <v>2018</v>
      </c>
      <c r="E106" s="2" t="s">
        <v>6216</v>
      </c>
      <c r="F106" t="s">
        <v>42</v>
      </c>
      <c r="G106" t="s">
        <v>585</v>
      </c>
      <c r="H106" t="s">
        <v>586</v>
      </c>
      <c r="I106" t="s">
        <v>23</v>
      </c>
      <c r="J106" t="s">
        <v>24</v>
      </c>
      <c r="K106" t="s">
        <v>89</v>
      </c>
      <c r="L106" t="s">
        <v>82</v>
      </c>
      <c r="M106" t="s">
        <v>83</v>
      </c>
      <c r="N106" t="s">
        <v>587</v>
      </c>
      <c r="O106" t="s">
        <v>48</v>
      </c>
      <c r="P106" t="s">
        <v>49</v>
      </c>
      <c r="Q106" t="s">
        <v>588</v>
      </c>
      <c r="R106">
        <v>13.9</v>
      </c>
      <c r="S106">
        <v>7</v>
      </c>
      <c r="T106">
        <v>0</v>
      </c>
      <c r="U106">
        <v>-2.98</v>
      </c>
    </row>
    <row r="107" spans="1:21" x14ac:dyDescent="0.35">
      <c r="A107" t="s">
        <v>589</v>
      </c>
      <c r="B107" s="2">
        <v>43107</v>
      </c>
      <c r="C107" s="2" t="str">
        <f t="shared" si="2"/>
        <v>January</v>
      </c>
      <c r="D107" s="2" t="str">
        <f t="shared" si="3"/>
        <v>2018</v>
      </c>
      <c r="E107" s="2" t="s">
        <v>5978</v>
      </c>
      <c r="F107" t="s">
        <v>62</v>
      </c>
      <c r="G107" t="s">
        <v>590</v>
      </c>
      <c r="H107" t="s">
        <v>591</v>
      </c>
      <c r="I107" t="s">
        <v>23</v>
      </c>
      <c r="J107" t="s">
        <v>24</v>
      </c>
      <c r="K107" t="s">
        <v>103</v>
      </c>
      <c r="L107" t="s">
        <v>46</v>
      </c>
      <c r="M107" t="s">
        <v>83</v>
      </c>
      <c r="N107" t="s">
        <v>592</v>
      </c>
      <c r="O107" t="s">
        <v>29</v>
      </c>
      <c r="P107" t="s">
        <v>30</v>
      </c>
      <c r="Q107" t="s">
        <v>593</v>
      </c>
      <c r="R107">
        <v>1629.12</v>
      </c>
      <c r="S107">
        <v>5</v>
      </c>
      <c r="T107">
        <v>0</v>
      </c>
      <c r="U107">
        <v>-311.52</v>
      </c>
    </row>
    <row r="108" spans="1:21" x14ac:dyDescent="0.35">
      <c r="A108" t="s">
        <v>594</v>
      </c>
      <c r="B108" s="2">
        <v>42741</v>
      </c>
      <c r="C108" s="2" t="str">
        <f t="shared" si="2"/>
        <v>January</v>
      </c>
      <c r="D108" s="2" t="str">
        <f t="shared" si="3"/>
        <v>2017</v>
      </c>
      <c r="E108" s="2">
        <v>42917</v>
      </c>
      <c r="F108" t="s">
        <v>52</v>
      </c>
      <c r="G108" t="s">
        <v>595</v>
      </c>
      <c r="H108" t="s">
        <v>596</v>
      </c>
      <c r="I108" t="s">
        <v>23</v>
      </c>
      <c r="J108" t="s">
        <v>24</v>
      </c>
      <c r="K108" t="s">
        <v>212</v>
      </c>
      <c r="L108" t="s">
        <v>46</v>
      </c>
      <c r="M108" t="s">
        <v>27</v>
      </c>
      <c r="N108" t="s">
        <v>597</v>
      </c>
      <c r="O108" t="s">
        <v>29</v>
      </c>
      <c r="P108" t="s">
        <v>110</v>
      </c>
      <c r="Q108" t="s">
        <v>598</v>
      </c>
      <c r="R108">
        <v>892.62</v>
      </c>
      <c r="S108">
        <v>4</v>
      </c>
      <c r="T108">
        <v>0.3</v>
      </c>
      <c r="U108">
        <v>-33.119999999999997</v>
      </c>
    </row>
    <row r="109" spans="1:21" x14ac:dyDescent="0.35">
      <c r="A109" t="s">
        <v>599</v>
      </c>
      <c r="B109" s="2">
        <v>43135</v>
      </c>
      <c r="C109" s="2" t="str">
        <f t="shared" si="2"/>
        <v>February</v>
      </c>
      <c r="D109" s="2" t="str">
        <f t="shared" si="3"/>
        <v>2018</v>
      </c>
      <c r="E109" s="2">
        <v>43406</v>
      </c>
      <c r="F109" t="s">
        <v>42</v>
      </c>
      <c r="G109" t="s">
        <v>600</v>
      </c>
      <c r="H109" t="s">
        <v>601</v>
      </c>
      <c r="I109" t="s">
        <v>55</v>
      </c>
      <c r="J109" t="s">
        <v>24</v>
      </c>
      <c r="K109" t="s">
        <v>36</v>
      </c>
      <c r="L109" t="s">
        <v>26</v>
      </c>
      <c r="M109" t="s">
        <v>57</v>
      </c>
      <c r="N109" t="s">
        <v>602</v>
      </c>
      <c r="O109" t="s">
        <v>29</v>
      </c>
      <c r="P109" t="s">
        <v>110</v>
      </c>
      <c r="Q109" t="s">
        <v>603</v>
      </c>
      <c r="R109">
        <v>1954.14</v>
      </c>
      <c r="S109">
        <v>5</v>
      </c>
      <c r="T109">
        <v>0</v>
      </c>
      <c r="U109">
        <v>-283.85000000000002</v>
      </c>
    </row>
    <row r="110" spans="1:21" x14ac:dyDescent="0.35">
      <c r="A110" t="s">
        <v>604</v>
      </c>
      <c r="B110" s="2">
        <v>43748</v>
      </c>
      <c r="C110" s="2" t="str">
        <f t="shared" si="2"/>
        <v>October</v>
      </c>
      <c r="D110" s="2" t="str">
        <f t="shared" si="3"/>
        <v>2019</v>
      </c>
      <c r="E110" s="2">
        <v>43809</v>
      </c>
      <c r="F110" t="s">
        <v>20</v>
      </c>
      <c r="G110" t="s">
        <v>605</v>
      </c>
      <c r="H110" t="s">
        <v>606</v>
      </c>
      <c r="I110" t="s">
        <v>55</v>
      </c>
      <c r="J110" t="s">
        <v>24</v>
      </c>
      <c r="K110" t="s">
        <v>97</v>
      </c>
      <c r="L110" t="s">
        <v>115</v>
      </c>
      <c r="M110" t="s">
        <v>83</v>
      </c>
      <c r="N110" t="s">
        <v>607</v>
      </c>
      <c r="O110" t="s">
        <v>48</v>
      </c>
      <c r="P110" t="s">
        <v>59</v>
      </c>
      <c r="Q110" t="s">
        <v>608</v>
      </c>
      <c r="R110">
        <v>1617.57</v>
      </c>
      <c r="S110">
        <v>9</v>
      </c>
      <c r="T110">
        <v>0.1</v>
      </c>
      <c r="U110">
        <v>206.46</v>
      </c>
    </row>
    <row r="111" spans="1:21" x14ac:dyDescent="0.35">
      <c r="A111" t="s">
        <v>609</v>
      </c>
      <c r="B111" s="2">
        <v>42864</v>
      </c>
      <c r="C111" s="2" t="str">
        <f t="shared" si="2"/>
        <v>May</v>
      </c>
      <c r="D111" s="2" t="str">
        <f t="shared" si="3"/>
        <v>2017</v>
      </c>
      <c r="E111" s="2" t="s">
        <v>6196</v>
      </c>
      <c r="F111" t="s">
        <v>42</v>
      </c>
      <c r="G111" t="s">
        <v>610</v>
      </c>
      <c r="H111" t="s">
        <v>611</v>
      </c>
      <c r="I111" t="s">
        <v>35</v>
      </c>
      <c r="J111" t="s">
        <v>24</v>
      </c>
      <c r="K111" t="s">
        <v>133</v>
      </c>
      <c r="L111" t="s">
        <v>37</v>
      </c>
      <c r="M111" t="s">
        <v>74</v>
      </c>
      <c r="N111" t="s">
        <v>612</v>
      </c>
      <c r="O111" t="s">
        <v>29</v>
      </c>
      <c r="P111" t="s">
        <v>110</v>
      </c>
      <c r="Q111" t="s">
        <v>310</v>
      </c>
      <c r="R111">
        <v>1038.19</v>
      </c>
      <c r="S111">
        <v>8</v>
      </c>
      <c r="T111">
        <v>0</v>
      </c>
      <c r="U111">
        <v>206.96</v>
      </c>
    </row>
    <row r="112" spans="1:21" x14ac:dyDescent="0.35">
      <c r="A112" t="s">
        <v>613</v>
      </c>
      <c r="B112" s="2">
        <v>43521</v>
      </c>
      <c r="C112" s="2" t="str">
        <f t="shared" si="2"/>
        <v>February</v>
      </c>
      <c r="D112" s="2" t="str">
        <f t="shared" si="3"/>
        <v>2019</v>
      </c>
      <c r="E112" s="2">
        <v>43619</v>
      </c>
      <c r="F112" t="s">
        <v>20</v>
      </c>
      <c r="G112" t="s">
        <v>614</v>
      </c>
      <c r="H112" t="s">
        <v>108</v>
      </c>
      <c r="I112" t="s">
        <v>35</v>
      </c>
      <c r="J112" t="s">
        <v>24</v>
      </c>
      <c r="K112" t="s">
        <v>81</v>
      </c>
      <c r="L112" t="s">
        <v>82</v>
      </c>
      <c r="M112" t="s">
        <v>83</v>
      </c>
      <c r="N112" t="s">
        <v>615</v>
      </c>
      <c r="O112" t="s">
        <v>48</v>
      </c>
      <c r="P112" t="s">
        <v>59</v>
      </c>
      <c r="Q112" t="s">
        <v>616</v>
      </c>
      <c r="R112">
        <v>970.33</v>
      </c>
      <c r="S112">
        <v>3</v>
      </c>
      <c r="T112">
        <v>0.1</v>
      </c>
      <c r="U112">
        <v>107.18</v>
      </c>
    </row>
    <row r="113" spans="1:21" x14ac:dyDescent="0.35">
      <c r="A113" t="s">
        <v>617</v>
      </c>
      <c r="B113" s="2">
        <v>42450</v>
      </c>
      <c r="C113" s="2" t="str">
        <f t="shared" si="2"/>
        <v>March</v>
      </c>
      <c r="D113" s="2" t="str">
        <f t="shared" si="3"/>
        <v>2016</v>
      </c>
      <c r="E113" s="2" t="s">
        <v>6205</v>
      </c>
      <c r="F113" t="s">
        <v>20</v>
      </c>
      <c r="G113" t="s">
        <v>618</v>
      </c>
      <c r="H113" t="s">
        <v>619</v>
      </c>
      <c r="I113" t="s">
        <v>23</v>
      </c>
      <c r="J113" t="s">
        <v>24</v>
      </c>
      <c r="K113" t="s">
        <v>133</v>
      </c>
      <c r="L113" t="s">
        <v>90</v>
      </c>
      <c r="M113" t="s">
        <v>27</v>
      </c>
      <c r="N113" t="s">
        <v>620</v>
      </c>
      <c r="O113" t="s">
        <v>48</v>
      </c>
      <c r="P113" t="s">
        <v>128</v>
      </c>
      <c r="Q113" t="s">
        <v>621</v>
      </c>
      <c r="R113">
        <v>1467.57</v>
      </c>
      <c r="S113">
        <v>1</v>
      </c>
      <c r="T113">
        <v>0</v>
      </c>
      <c r="U113">
        <v>42.82</v>
      </c>
    </row>
    <row r="114" spans="1:21" x14ac:dyDescent="0.35">
      <c r="A114" t="s">
        <v>622</v>
      </c>
      <c r="B114" s="2">
        <v>43534</v>
      </c>
      <c r="C114" s="2" t="str">
        <f t="shared" si="2"/>
        <v>March</v>
      </c>
      <c r="D114" s="2" t="str">
        <f t="shared" si="3"/>
        <v>2019</v>
      </c>
      <c r="E114" s="2" t="s">
        <v>6217</v>
      </c>
      <c r="F114" t="s">
        <v>42</v>
      </c>
      <c r="G114" t="s">
        <v>623</v>
      </c>
      <c r="H114" t="s">
        <v>624</v>
      </c>
      <c r="I114" t="s">
        <v>23</v>
      </c>
      <c r="J114" t="s">
        <v>24</v>
      </c>
      <c r="K114" t="s">
        <v>89</v>
      </c>
      <c r="L114" t="s">
        <v>170</v>
      </c>
      <c r="M114" t="s">
        <v>74</v>
      </c>
      <c r="N114" t="s">
        <v>625</v>
      </c>
      <c r="O114" t="s">
        <v>29</v>
      </c>
      <c r="P114" t="s">
        <v>155</v>
      </c>
      <c r="Q114" t="s">
        <v>626</v>
      </c>
      <c r="R114">
        <v>949.96</v>
      </c>
      <c r="S114">
        <v>6</v>
      </c>
      <c r="T114">
        <v>0.4</v>
      </c>
      <c r="U114">
        <v>-65.489999999999995</v>
      </c>
    </row>
    <row r="115" spans="1:21" x14ac:dyDescent="0.35">
      <c r="A115" t="s">
        <v>627</v>
      </c>
      <c r="B115" s="2">
        <v>42956</v>
      </c>
      <c r="C115" s="2" t="str">
        <f t="shared" si="2"/>
        <v>August</v>
      </c>
      <c r="D115" s="2" t="str">
        <f t="shared" si="3"/>
        <v>2017</v>
      </c>
      <c r="E115" s="2">
        <v>43077</v>
      </c>
      <c r="F115" t="s">
        <v>20</v>
      </c>
      <c r="G115" t="s">
        <v>628</v>
      </c>
      <c r="H115" t="s">
        <v>629</v>
      </c>
      <c r="I115" t="s">
        <v>35</v>
      </c>
      <c r="J115" t="s">
        <v>24</v>
      </c>
      <c r="K115" t="s">
        <v>89</v>
      </c>
      <c r="L115" t="s">
        <v>115</v>
      </c>
      <c r="M115" t="s">
        <v>57</v>
      </c>
      <c r="N115" t="s">
        <v>630</v>
      </c>
      <c r="O115" t="s">
        <v>48</v>
      </c>
      <c r="P115" t="s">
        <v>49</v>
      </c>
      <c r="Q115" t="s">
        <v>631</v>
      </c>
      <c r="R115">
        <v>464.71</v>
      </c>
      <c r="S115">
        <v>10</v>
      </c>
      <c r="T115">
        <v>0</v>
      </c>
      <c r="U115">
        <v>-111.07</v>
      </c>
    </row>
    <row r="116" spans="1:21" x14ac:dyDescent="0.35">
      <c r="A116" t="s">
        <v>632</v>
      </c>
      <c r="B116" s="2">
        <v>42934</v>
      </c>
      <c r="C116" s="2" t="str">
        <f t="shared" si="2"/>
        <v>July</v>
      </c>
      <c r="D116" s="2" t="str">
        <f t="shared" si="3"/>
        <v>2017</v>
      </c>
      <c r="E116" s="2" t="s">
        <v>6057</v>
      </c>
      <c r="F116" t="s">
        <v>20</v>
      </c>
      <c r="G116" t="s">
        <v>633</v>
      </c>
      <c r="H116" t="s">
        <v>634</v>
      </c>
      <c r="I116" t="s">
        <v>35</v>
      </c>
      <c r="J116" t="s">
        <v>24</v>
      </c>
      <c r="K116" t="s">
        <v>97</v>
      </c>
      <c r="L116" t="s">
        <v>36</v>
      </c>
      <c r="M116" t="s">
        <v>83</v>
      </c>
      <c r="N116" t="s">
        <v>635</v>
      </c>
      <c r="O116" t="s">
        <v>48</v>
      </c>
      <c r="P116" t="s">
        <v>128</v>
      </c>
      <c r="Q116" t="s">
        <v>636</v>
      </c>
      <c r="R116">
        <v>518.54</v>
      </c>
      <c r="S116">
        <v>9</v>
      </c>
      <c r="T116">
        <v>0.1</v>
      </c>
      <c r="U116">
        <v>-99.69</v>
      </c>
    </row>
    <row r="117" spans="1:21" x14ac:dyDescent="0.35">
      <c r="A117" t="s">
        <v>637</v>
      </c>
      <c r="B117" s="2">
        <v>42737</v>
      </c>
      <c r="C117" s="2" t="str">
        <f t="shared" si="2"/>
        <v>January</v>
      </c>
      <c r="D117" s="2" t="str">
        <f t="shared" si="3"/>
        <v>2017</v>
      </c>
      <c r="E117" s="2">
        <v>43009</v>
      </c>
      <c r="F117" t="s">
        <v>62</v>
      </c>
      <c r="G117" t="s">
        <v>638</v>
      </c>
      <c r="H117" t="s">
        <v>639</v>
      </c>
      <c r="I117" t="s">
        <v>23</v>
      </c>
      <c r="J117" t="s">
        <v>24</v>
      </c>
      <c r="K117" t="s">
        <v>25</v>
      </c>
      <c r="L117" t="s">
        <v>82</v>
      </c>
      <c r="M117" t="s">
        <v>74</v>
      </c>
      <c r="N117" t="s">
        <v>640</v>
      </c>
      <c r="O117" t="s">
        <v>67</v>
      </c>
      <c r="P117" t="s">
        <v>197</v>
      </c>
      <c r="Q117" t="s">
        <v>641</v>
      </c>
      <c r="R117">
        <v>968.8</v>
      </c>
      <c r="S117">
        <v>9</v>
      </c>
      <c r="T117">
        <v>0</v>
      </c>
      <c r="U117">
        <v>-176.02</v>
      </c>
    </row>
    <row r="118" spans="1:21" x14ac:dyDescent="0.35">
      <c r="A118" t="s">
        <v>642</v>
      </c>
      <c r="B118" s="2">
        <v>42859</v>
      </c>
      <c r="C118" s="2" t="str">
        <f t="shared" si="2"/>
        <v>May</v>
      </c>
      <c r="D118" s="2" t="str">
        <f t="shared" si="3"/>
        <v>2017</v>
      </c>
      <c r="E118" s="2">
        <v>42983</v>
      </c>
      <c r="F118" t="s">
        <v>20</v>
      </c>
      <c r="G118" t="s">
        <v>643</v>
      </c>
      <c r="H118" t="s">
        <v>644</v>
      </c>
      <c r="I118" t="s">
        <v>35</v>
      </c>
      <c r="J118" t="s">
        <v>24</v>
      </c>
      <c r="K118" t="s">
        <v>89</v>
      </c>
      <c r="L118" t="s">
        <v>82</v>
      </c>
      <c r="M118" t="s">
        <v>57</v>
      </c>
      <c r="N118" t="s">
        <v>645</v>
      </c>
      <c r="O118" t="s">
        <v>29</v>
      </c>
      <c r="P118" t="s">
        <v>155</v>
      </c>
      <c r="Q118" t="s">
        <v>646</v>
      </c>
      <c r="R118">
        <v>935.86</v>
      </c>
      <c r="S118">
        <v>5</v>
      </c>
      <c r="T118">
        <v>0.4</v>
      </c>
      <c r="U118">
        <v>38.450000000000003</v>
      </c>
    </row>
    <row r="119" spans="1:21" x14ac:dyDescent="0.35">
      <c r="A119" t="s">
        <v>647</v>
      </c>
      <c r="B119" s="2">
        <v>42632</v>
      </c>
      <c r="C119" s="2" t="str">
        <f t="shared" si="2"/>
        <v>September</v>
      </c>
      <c r="D119" s="2" t="str">
        <f t="shared" si="3"/>
        <v>2016</v>
      </c>
      <c r="E119" s="2" t="s">
        <v>6218</v>
      </c>
      <c r="F119" t="s">
        <v>52</v>
      </c>
      <c r="G119" t="s">
        <v>648</v>
      </c>
      <c r="H119" t="s">
        <v>649</v>
      </c>
      <c r="I119" t="s">
        <v>55</v>
      </c>
      <c r="J119" t="s">
        <v>24</v>
      </c>
      <c r="K119" t="s">
        <v>81</v>
      </c>
      <c r="L119" t="s">
        <v>115</v>
      </c>
      <c r="M119" t="s">
        <v>57</v>
      </c>
      <c r="N119" t="s">
        <v>650</v>
      </c>
      <c r="O119" t="s">
        <v>29</v>
      </c>
      <c r="P119" t="s">
        <v>110</v>
      </c>
      <c r="Q119" t="s">
        <v>651</v>
      </c>
      <c r="R119">
        <v>1842.85</v>
      </c>
      <c r="S119">
        <v>9</v>
      </c>
      <c r="T119">
        <v>0</v>
      </c>
      <c r="U119">
        <v>301.41000000000003</v>
      </c>
    </row>
    <row r="120" spans="1:21" x14ac:dyDescent="0.35">
      <c r="A120" t="s">
        <v>652</v>
      </c>
      <c r="B120" s="2">
        <v>43452</v>
      </c>
      <c r="C120" s="2" t="str">
        <f t="shared" si="2"/>
        <v>December</v>
      </c>
      <c r="D120" s="2" t="str">
        <f t="shared" si="3"/>
        <v>2018</v>
      </c>
      <c r="E120" s="2" t="s">
        <v>5948</v>
      </c>
      <c r="F120" t="s">
        <v>42</v>
      </c>
      <c r="G120" t="s">
        <v>653</v>
      </c>
      <c r="H120" t="s">
        <v>654</v>
      </c>
      <c r="I120" t="s">
        <v>35</v>
      </c>
      <c r="J120" t="s">
        <v>24</v>
      </c>
      <c r="K120" t="s">
        <v>81</v>
      </c>
      <c r="L120" t="s">
        <v>170</v>
      </c>
      <c r="M120" t="s">
        <v>74</v>
      </c>
      <c r="N120" t="s">
        <v>655</v>
      </c>
      <c r="O120" t="s">
        <v>48</v>
      </c>
      <c r="P120" t="s">
        <v>128</v>
      </c>
      <c r="Q120" t="s">
        <v>656</v>
      </c>
      <c r="R120">
        <v>1526.18</v>
      </c>
      <c r="S120">
        <v>4</v>
      </c>
      <c r="T120">
        <v>0</v>
      </c>
      <c r="U120">
        <v>511.72</v>
      </c>
    </row>
    <row r="121" spans="1:21" x14ac:dyDescent="0.35">
      <c r="A121" t="s">
        <v>657</v>
      </c>
      <c r="B121" s="2">
        <v>42449</v>
      </c>
      <c r="C121" s="2" t="str">
        <f t="shared" si="2"/>
        <v>March</v>
      </c>
      <c r="D121" s="2" t="str">
        <f t="shared" si="3"/>
        <v>2016</v>
      </c>
      <c r="E121" s="2" t="s">
        <v>6046</v>
      </c>
      <c r="F121" t="s">
        <v>20</v>
      </c>
      <c r="G121" t="s">
        <v>658</v>
      </c>
      <c r="H121" t="s">
        <v>659</v>
      </c>
      <c r="I121" t="s">
        <v>35</v>
      </c>
      <c r="J121" t="s">
        <v>24</v>
      </c>
      <c r="K121" t="s">
        <v>89</v>
      </c>
      <c r="L121" t="s">
        <v>65</v>
      </c>
      <c r="M121" t="s">
        <v>57</v>
      </c>
      <c r="N121" t="s">
        <v>660</v>
      </c>
      <c r="O121" t="s">
        <v>48</v>
      </c>
      <c r="P121" t="s">
        <v>128</v>
      </c>
      <c r="Q121" t="s">
        <v>661</v>
      </c>
      <c r="R121">
        <v>1028.21</v>
      </c>
      <c r="S121">
        <v>5</v>
      </c>
      <c r="T121">
        <v>0.4</v>
      </c>
      <c r="U121">
        <v>-5.77</v>
      </c>
    </row>
    <row r="122" spans="1:21" x14ac:dyDescent="0.35">
      <c r="A122" t="s">
        <v>662</v>
      </c>
      <c r="B122" s="2">
        <v>43150</v>
      </c>
      <c r="C122" s="2" t="str">
        <f t="shared" si="2"/>
        <v>February</v>
      </c>
      <c r="D122" s="2" t="str">
        <f t="shared" si="3"/>
        <v>2018</v>
      </c>
      <c r="E122" s="2" t="s">
        <v>6219</v>
      </c>
      <c r="F122" t="s">
        <v>42</v>
      </c>
      <c r="G122" t="s">
        <v>663</v>
      </c>
      <c r="H122" t="s">
        <v>664</v>
      </c>
      <c r="I122" t="s">
        <v>35</v>
      </c>
      <c r="J122" t="s">
        <v>24</v>
      </c>
      <c r="K122" t="s">
        <v>103</v>
      </c>
      <c r="L122" t="s">
        <v>36</v>
      </c>
      <c r="M122" t="s">
        <v>83</v>
      </c>
      <c r="N122" t="s">
        <v>665</v>
      </c>
      <c r="O122" t="s">
        <v>29</v>
      </c>
      <c r="P122" t="s">
        <v>39</v>
      </c>
      <c r="Q122" t="s">
        <v>666</v>
      </c>
      <c r="R122">
        <v>687.91</v>
      </c>
      <c r="S122">
        <v>4</v>
      </c>
      <c r="T122">
        <v>0.3</v>
      </c>
      <c r="U122">
        <v>-29.51</v>
      </c>
    </row>
    <row r="123" spans="1:21" x14ac:dyDescent="0.35">
      <c r="A123" t="s">
        <v>667</v>
      </c>
      <c r="B123" s="2">
        <v>42408</v>
      </c>
      <c r="C123" s="2" t="str">
        <f t="shared" si="2"/>
        <v>February</v>
      </c>
      <c r="D123" s="2" t="str">
        <f t="shared" si="3"/>
        <v>2016</v>
      </c>
      <c r="E123" s="2">
        <v>42676</v>
      </c>
      <c r="F123" t="s">
        <v>62</v>
      </c>
      <c r="G123" t="s">
        <v>668</v>
      </c>
      <c r="H123" t="s">
        <v>364</v>
      </c>
      <c r="I123" t="s">
        <v>55</v>
      </c>
      <c r="J123" t="s">
        <v>24</v>
      </c>
      <c r="K123" t="s">
        <v>73</v>
      </c>
      <c r="L123" t="s">
        <v>170</v>
      </c>
      <c r="M123" t="s">
        <v>83</v>
      </c>
      <c r="N123" t="s">
        <v>669</v>
      </c>
      <c r="O123" t="s">
        <v>67</v>
      </c>
      <c r="P123" t="s">
        <v>197</v>
      </c>
      <c r="Q123" t="s">
        <v>670</v>
      </c>
      <c r="R123">
        <v>959.07</v>
      </c>
      <c r="S123">
        <v>5</v>
      </c>
      <c r="T123">
        <v>0</v>
      </c>
      <c r="U123">
        <v>-272</v>
      </c>
    </row>
    <row r="124" spans="1:21" x14ac:dyDescent="0.35">
      <c r="A124" t="s">
        <v>671</v>
      </c>
      <c r="B124" s="2">
        <v>42391</v>
      </c>
      <c r="C124" s="2" t="str">
        <f t="shared" si="2"/>
        <v>January</v>
      </c>
      <c r="D124" s="2" t="str">
        <f t="shared" si="3"/>
        <v>2016</v>
      </c>
      <c r="E124" s="2">
        <v>42371</v>
      </c>
      <c r="F124" t="s">
        <v>42</v>
      </c>
      <c r="G124" t="s">
        <v>672</v>
      </c>
      <c r="H124" t="s">
        <v>673</v>
      </c>
      <c r="I124" t="s">
        <v>55</v>
      </c>
      <c r="J124" t="s">
        <v>24</v>
      </c>
      <c r="K124" t="s">
        <v>97</v>
      </c>
      <c r="L124" t="s">
        <v>90</v>
      </c>
      <c r="M124" t="s">
        <v>74</v>
      </c>
      <c r="N124" t="s">
        <v>674</v>
      </c>
      <c r="O124" t="s">
        <v>48</v>
      </c>
      <c r="P124" t="s">
        <v>128</v>
      </c>
      <c r="Q124" t="s">
        <v>675</v>
      </c>
      <c r="R124">
        <v>1761.68</v>
      </c>
      <c r="S124">
        <v>8</v>
      </c>
      <c r="T124">
        <v>0</v>
      </c>
      <c r="U124">
        <v>566.80999999999995</v>
      </c>
    </row>
    <row r="125" spans="1:21" x14ac:dyDescent="0.35">
      <c r="A125" t="s">
        <v>676</v>
      </c>
      <c r="B125" s="2">
        <v>42870</v>
      </c>
      <c r="C125" s="2" t="str">
        <f t="shared" si="2"/>
        <v>May</v>
      </c>
      <c r="D125" s="2" t="str">
        <f t="shared" si="3"/>
        <v>2017</v>
      </c>
      <c r="E125" s="2" t="s">
        <v>6220</v>
      </c>
      <c r="F125" t="s">
        <v>52</v>
      </c>
      <c r="G125" t="s">
        <v>677</v>
      </c>
      <c r="H125" t="s">
        <v>678</v>
      </c>
      <c r="I125" t="s">
        <v>35</v>
      </c>
      <c r="J125" t="s">
        <v>24</v>
      </c>
      <c r="K125" t="s">
        <v>89</v>
      </c>
      <c r="L125" t="s">
        <v>82</v>
      </c>
      <c r="M125" t="s">
        <v>74</v>
      </c>
      <c r="N125" t="s">
        <v>679</v>
      </c>
      <c r="O125" t="s">
        <v>67</v>
      </c>
      <c r="P125" t="s">
        <v>229</v>
      </c>
      <c r="Q125" t="s">
        <v>568</v>
      </c>
      <c r="R125">
        <v>1371.17</v>
      </c>
      <c r="S125">
        <v>9</v>
      </c>
      <c r="T125">
        <v>0.3</v>
      </c>
      <c r="U125">
        <v>10.96</v>
      </c>
    </row>
    <row r="126" spans="1:21" x14ac:dyDescent="0.35">
      <c r="A126" t="s">
        <v>680</v>
      </c>
      <c r="B126" s="2">
        <v>43243</v>
      </c>
      <c r="C126" s="2" t="str">
        <f t="shared" si="2"/>
        <v>May</v>
      </c>
      <c r="D126" s="2" t="str">
        <f t="shared" si="3"/>
        <v>2018</v>
      </c>
      <c r="E126" s="2" t="s">
        <v>6221</v>
      </c>
      <c r="F126" t="s">
        <v>52</v>
      </c>
      <c r="G126" t="s">
        <v>681</v>
      </c>
      <c r="H126" t="s">
        <v>682</v>
      </c>
      <c r="I126" t="s">
        <v>23</v>
      </c>
      <c r="J126" t="s">
        <v>24</v>
      </c>
      <c r="K126" t="s">
        <v>89</v>
      </c>
      <c r="L126" t="s">
        <v>115</v>
      </c>
      <c r="M126" t="s">
        <v>83</v>
      </c>
      <c r="N126" t="s">
        <v>683</v>
      </c>
      <c r="O126" t="s">
        <v>48</v>
      </c>
      <c r="P126" t="s">
        <v>128</v>
      </c>
      <c r="Q126" t="s">
        <v>684</v>
      </c>
      <c r="R126">
        <v>1215.4000000000001</v>
      </c>
      <c r="S126">
        <v>10</v>
      </c>
      <c r="T126">
        <v>0</v>
      </c>
      <c r="U126">
        <v>255.44</v>
      </c>
    </row>
    <row r="127" spans="1:21" x14ac:dyDescent="0.35">
      <c r="A127" t="s">
        <v>685</v>
      </c>
      <c r="B127" s="2">
        <v>42519</v>
      </c>
      <c r="C127" s="2" t="str">
        <f t="shared" si="2"/>
        <v>May</v>
      </c>
      <c r="D127" s="2" t="str">
        <f t="shared" si="3"/>
        <v>2016</v>
      </c>
      <c r="E127" s="2">
        <v>42527</v>
      </c>
      <c r="F127" t="s">
        <v>20</v>
      </c>
      <c r="G127" t="s">
        <v>686</v>
      </c>
      <c r="H127" t="s">
        <v>687</v>
      </c>
      <c r="I127" t="s">
        <v>35</v>
      </c>
      <c r="J127" t="s">
        <v>24</v>
      </c>
      <c r="K127" t="s">
        <v>89</v>
      </c>
      <c r="L127" t="s">
        <v>37</v>
      </c>
      <c r="M127" t="s">
        <v>83</v>
      </c>
      <c r="N127" t="s">
        <v>688</v>
      </c>
      <c r="O127" t="s">
        <v>67</v>
      </c>
      <c r="P127" t="s">
        <v>92</v>
      </c>
      <c r="Q127" t="s">
        <v>689</v>
      </c>
      <c r="R127">
        <v>1787.31</v>
      </c>
      <c r="S127">
        <v>7</v>
      </c>
      <c r="T127">
        <v>0</v>
      </c>
      <c r="U127">
        <v>-19.11</v>
      </c>
    </row>
    <row r="128" spans="1:21" x14ac:dyDescent="0.35">
      <c r="A128" t="s">
        <v>690</v>
      </c>
      <c r="B128" s="2">
        <v>43582</v>
      </c>
      <c r="C128" s="2" t="str">
        <f t="shared" si="2"/>
        <v>April</v>
      </c>
      <c r="D128" s="2" t="str">
        <f t="shared" si="3"/>
        <v>2019</v>
      </c>
      <c r="E128" s="2">
        <v>43529</v>
      </c>
      <c r="F128" t="s">
        <v>62</v>
      </c>
      <c r="G128" t="s">
        <v>691</v>
      </c>
      <c r="H128" t="s">
        <v>692</v>
      </c>
      <c r="I128" t="s">
        <v>35</v>
      </c>
      <c r="J128" t="s">
        <v>24</v>
      </c>
      <c r="K128" t="s">
        <v>73</v>
      </c>
      <c r="L128" t="s">
        <v>170</v>
      </c>
      <c r="M128" t="s">
        <v>57</v>
      </c>
      <c r="N128" t="s">
        <v>693</v>
      </c>
      <c r="O128" t="s">
        <v>67</v>
      </c>
      <c r="P128" t="s">
        <v>92</v>
      </c>
      <c r="Q128" t="s">
        <v>694</v>
      </c>
      <c r="R128">
        <v>1111.28</v>
      </c>
      <c r="S128">
        <v>7</v>
      </c>
      <c r="T128">
        <v>0.4</v>
      </c>
      <c r="U128">
        <v>-60.39</v>
      </c>
    </row>
    <row r="129" spans="1:21" x14ac:dyDescent="0.35">
      <c r="A129" t="s">
        <v>695</v>
      </c>
      <c r="B129" s="2">
        <v>43476</v>
      </c>
      <c r="C129" s="2" t="str">
        <f t="shared" si="2"/>
        <v>January</v>
      </c>
      <c r="D129" s="2" t="str">
        <f t="shared" si="3"/>
        <v>2019</v>
      </c>
      <c r="E129" s="2" t="s">
        <v>6164</v>
      </c>
      <c r="F129" t="s">
        <v>20</v>
      </c>
      <c r="G129" t="s">
        <v>696</v>
      </c>
      <c r="H129" t="s">
        <v>697</v>
      </c>
      <c r="I129" t="s">
        <v>35</v>
      </c>
      <c r="J129" t="s">
        <v>24</v>
      </c>
      <c r="K129" t="s">
        <v>81</v>
      </c>
      <c r="L129" t="s">
        <v>56</v>
      </c>
      <c r="M129" t="s">
        <v>27</v>
      </c>
      <c r="N129" t="s">
        <v>698</v>
      </c>
      <c r="O129" t="s">
        <v>67</v>
      </c>
      <c r="P129" t="s">
        <v>92</v>
      </c>
      <c r="Q129" t="s">
        <v>699</v>
      </c>
      <c r="R129">
        <v>1951.65</v>
      </c>
      <c r="S129">
        <v>10</v>
      </c>
      <c r="T129">
        <v>0</v>
      </c>
      <c r="U129">
        <v>593.67999999999995</v>
      </c>
    </row>
    <row r="130" spans="1:21" x14ac:dyDescent="0.35">
      <c r="A130" t="s">
        <v>700</v>
      </c>
      <c r="B130" s="2">
        <v>42537</v>
      </c>
      <c r="C130" s="2" t="str">
        <f t="shared" si="2"/>
        <v>June</v>
      </c>
      <c r="D130" s="2" t="str">
        <f t="shared" si="3"/>
        <v>2016</v>
      </c>
      <c r="E130" s="2" t="s">
        <v>6222</v>
      </c>
      <c r="F130" t="s">
        <v>62</v>
      </c>
      <c r="G130" t="s">
        <v>701</v>
      </c>
      <c r="H130" t="s">
        <v>702</v>
      </c>
      <c r="I130" t="s">
        <v>35</v>
      </c>
      <c r="J130" t="s">
        <v>24</v>
      </c>
      <c r="K130" t="s">
        <v>25</v>
      </c>
      <c r="L130" t="s">
        <v>82</v>
      </c>
      <c r="M130" t="s">
        <v>83</v>
      </c>
      <c r="N130" t="s">
        <v>703</v>
      </c>
      <c r="O130" t="s">
        <v>48</v>
      </c>
      <c r="P130" t="s">
        <v>59</v>
      </c>
      <c r="Q130" t="s">
        <v>704</v>
      </c>
      <c r="R130">
        <v>1200.94</v>
      </c>
      <c r="S130">
        <v>7</v>
      </c>
      <c r="T130">
        <v>0</v>
      </c>
      <c r="U130">
        <v>456.23</v>
      </c>
    </row>
    <row r="131" spans="1:21" x14ac:dyDescent="0.35">
      <c r="A131" t="s">
        <v>705</v>
      </c>
      <c r="B131" s="2">
        <v>43755</v>
      </c>
      <c r="C131" s="2" t="str">
        <f t="shared" ref="C131:C194" si="4">TEXT(B131,"mmmm")</f>
        <v>October</v>
      </c>
      <c r="D131" s="2" t="str">
        <f t="shared" ref="D131:D194" si="5">TEXT(B131,"yyyy")</f>
        <v>2019</v>
      </c>
      <c r="E131" s="2" t="s">
        <v>6026</v>
      </c>
      <c r="F131" t="s">
        <v>20</v>
      </c>
      <c r="G131" t="s">
        <v>706</v>
      </c>
      <c r="H131" t="s">
        <v>707</v>
      </c>
      <c r="I131" t="s">
        <v>35</v>
      </c>
      <c r="J131" t="s">
        <v>24</v>
      </c>
      <c r="K131" t="s">
        <v>212</v>
      </c>
      <c r="L131" t="s">
        <v>65</v>
      </c>
      <c r="M131" t="s">
        <v>57</v>
      </c>
      <c r="N131" t="s">
        <v>708</v>
      </c>
      <c r="O131" t="s">
        <v>67</v>
      </c>
      <c r="P131" t="s">
        <v>68</v>
      </c>
      <c r="Q131" t="s">
        <v>709</v>
      </c>
      <c r="R131">
        <v>1479.97</v>
      </c>
      <c r="S131">
        <v>2</v>
      </c>
      <c r="T131">
        <v>0.3</v>
      </c>
      <c r="U131">
        <v>82.52</v>
      </c>
    </row>
    <row r="132" spans="1:21" x14ac:dyDescent="0.35">
      <c r="A132" t="s">
        <v>710</v>
      </c>
      <c r="B132" s="2">
        <v>42916</v>
      </c>
      <c r="C132" s="2" t="str">
        <f t="shared" si="4"/>
        <v>June</v>
      </c>
      <c r="D132" s="2" t="str">
        <f t="shared" si="5"/>
        <v>2017</v>
      </c>
      <c r="E132" s="2">
        <v>42801</v>
      </c>
      <c r="F132" t="s">
        <v>20</v>
      </c>
      <c r="G132" t="s">
        <v>711</v>
      </c>
      <c r="H132" t="s">
        <v>712</v>
      </c>
      <c r="I132" t="s">
        <v>23</v>
      </c>
      <c r="J132" t="s">
        <v>24</v>
      </c>
      <c r="K132" t="s">
        <v>133</v>
      </c>
      <c r="L132" t="s">
        <v>82</v>
      </c>
      <c r="M132" t="s">
        <v>83</v>
      </c>
      <c r="N132" t="s">
        <v>713</v>
      </c>
      <c r="O132" t="s">
        <v>67</v>
      </c>
      <c r="P132" t="s">
        <v>68</v>
      </c>
      <c r="Q132" t="s">
        <v>519</v>
      </c>
      <c r="R132">
        <v>1473.12</v>
      </c>
      <c r="S132">
        <v>4</v>
      </c>
      <c r="T132">
        <v>0</v>
      </c>
      <c r="U132">
        <v>557.13</v>
      </c>
    </row>
    <row r="133" spans="1:21" x14ac:dyDescent="0.35">
      <c r="A133" t="s">
        <v>714</v>
      </c>
      <c r="B133" s="2">
        <v>43296</v>
      </c>
      <c r="C133" s="2" t="str">
        <f t="shared" si="4"/>
        <v>July</v>
      </c>
      <c r="D133" s="2" t="str">
        <f t="shared" si="5"/>
        <v>2018</v>
      </c>
      <c r="E133" s="2" t="s">
        <v>6223</v>
      </c>
      <c r="F133" t="s">
        <v>20</v>
      </c>
      <c r="G133" t="s">
        <v>715</v>
      </c>
      <c r="H133" t="s">
        <v>253</v>
      </c>
      <c r="I133" t="s">
        <v>55</v>
      </c>
      <c r="J133" t="s">
        <v>24</v>
      </c>
      <c r="K133" t="s">
        <v>73</v>
      </c>
      <c r="L133" t="s">
        <v>115</v>
      </c>
      <c r="M133" t="s">
        <v>74</v>
      </c>
      <c r="N133" t="s">
        <v>716</v>
      </c>
      <c r="O133" t="s">
        <v>29</v>
      </c>
      <c r="P133" t="s">
        <v>39</v>
      </c>
      <c r="Q133" t="s">
        <v>717</v>
      </c>
      <c r="R133">
        <v>577.80999999999995</v>
      </c>
      <c r="S133">
        <v>5</v>
      </c>
      <c r="T133">
        <v>0.3</v>
      </c>
      <c r="U133">
        <v>116.98</v>
      </c>
    </row>
    <row r="134" spans="1:21" x14ac:dyDescent="0.35">
      <c r="A134" t="s">
        <v>718</v>
      </c>
      <c r="B134" s="2">
        <v>42411</v>
      </c>
      <c r="C134" s="2" t="str">
        <f t="shared" si="4"/>
        <v>February</v>
      </c>
      <c r="D134" s="2" t="str">
        <f t="shared" si="5"/>
        <v>2016</v>
      </c>
      <c r="E134" s="2" t="s">
        <v>6224</v>
      </c>
      <c r="F134" t="s">
        <v>20</v>
      </c>
      <c r="G134" t="s">
        <v>719</v>
      </c>
      <c r="H134" t="s">
        <v>720</v>
      </c>
      <c r="I134" t="s">
        <v>23</v>
      </c>
      <c r="J134" t="s">
        <v>24</v>
      </c>
      <c r="K134" t="s">
        <v>36</v>
      </c>
      <c r="L134" t="s">
        <v>170</v>
      </c>
      <c r="M134" t="s">
        <v>57</v>
      </c>
      <c r="N134" t="s">
        <v>721</v>
      </c>
      <c r="O134" t="s">
        <v>29</v>
      </c>
      <c r="P134" t="s">
        <v>39</v>
      </c>
      <c r="Q134" t="s">
        <v>722</v>
      </c>
      <c r="R134">
        <v>369.16</v>
      </c>
      <c r="S134">
        <v>5</v>
      </c>
      <c r="T134">
        <v>0</v>
      </c>
      <c r="U134">
        <v>127.02</v>
      </c>
    </row>
    <row r="135" spans="1:21" x14ac:dyDescent="0.35">
      <c r="A135" t="s">
        <v>723</v>
      </c>
      <c r="B135" s="2">
        <v>42832</v>
      </c>
      <c r="C135" s="2" t="str">
        <f t="shared" si="4"/>
        <v>April</v>
      </c>
      <c r="D135" s="2" t="str">
        <f t="shared" si="5"/>
        <v>2017</v>
      </c>
      <c r="E135" s="2">
        <v>42951</v>
      </c>
      <c r="F135" t="s">
        <v>42</v>
      </c>
      <c r="G135" t="s">
        <v>724</v>
      </c>
      <c r="H135" t="s">
        <v>725</v>
      </c>
      <c r="I135" t="s">
        <v>55</v>
      </c>
      <c r="J135" t="s">
        <v>24</v>
      </c>
      <c r="K135" t="s">
        <v>133</v>
      </c>
      <c r="L135" t="s">
        <v>46</v>
      </c>
      <c r="M135" t="s">
        <v>27</v>
      </c>
      <c r="N135" t="s">
        <v>726</v>
      </c>
      <c r="O135" t="s">
        <v>48</v>
      </c>
      <c r="P135" t="s">
        <v>128</v>
      </c>
      <c r="Q135" t="s">
        <v>727</v>
      </c>
      <c r="R135">
        <v>551.79999999999995</v>
      </c>
      <c r="S135">
        <v>8</v>
      </c>
      <c r="T135">
        <v>0</v>
      </c>
      <c r="U135">
        <v>256.02</v>
      </c>
    </row>
    <row r="136" spans="1:21" x14ac:dyDescent="0.35">
      <c r="A136" t="s">
        <v>728</v>
      </c>
      <c r="B136" s="2">
        <v>43199</v>
      </c>
      <c r="C136" s="2" t="str">
        <f t="shared" si="4"/>
        <v>April</v>
      </c>
      <c r="D136" s="2" t="str">
        <f t="shared" si="5"/>
        <v>2018</v>
      </c>
      <c r="E136" s="2">
        <v>43408</v>
      </c>
      <c r="F136" t="s">
        <v>20</v>
      </c>
      <c r="G136" t="s">
        <v>729</v>
      </c>
      <c r="H136" t="s">
        <v>730</v>
      </c>
      <c r="I136" t="s">
        <v>55</v>
      </c>
      <c r="J136" t="s">
        <v>24</v>
      </c>
      <c r="K136" t="s">
        <v>97</v>
      </c>
      <c r="L136" t="s">
        <v>82</v>
      </c>
      <c r="M136" t="s">
        <v>57</v>
      </c>
      <c r="N136" t="s">
        <v>731</v>
      </c>
      <c r="O136" t="s">
        <v>67</v>
      </c>
      <c r="P136" t="s">
        <v>229</v>
      </c>
      <c r="Q136" t="s">
        <v>732</v>
      </c>
      <c r="R136">
        <v>454.68</v>
      </c>
      <c r="S136">
        <v>3</v>
      </c>
      <c r="T136">
        <v>0.4</v>
      </c>
      <c r="U136">
        <v>34.22</v>
      </c>
    </row>
    <row r="137" spans="1:21" x14ac:dyDescent="0.35">
      <c r="A137" t="s">
        <v>733</v>
      </c>
      <c r="B137" s="2">
        <v>42723</v>
      </c>
      <c r="C137" s="2" t="str">
        <f t="shared" si="4"/>
        <v>December</v>
      </c>
      <c r="D137" s="2" t="str">
        <f t="shared" si="5"/>
        <v>2016</v>
      </c>
      <c r="E137" s="2" t="s">
        <v>5968</v>
      </c>
      <c r="F137" t="s">
        <v>52</v>
      </c>
      <c r="G137" t="s">
        <v>734</v>
      </c>
      <c r="H137" t="s">
        <v>735</v>
      </c>
      <c r="I137" t="s">
        <v>23</v>
      </c>
      <c r="J137" t="s">
        <v>24</v>
      </c>
      <c r="K137" t="s">
        <v>97</v>
      </c>
      <c r="L137" t="s">
        <v>26</v>
      </c>
      <c r="M137" t="s">
        <v>57</v>
      </c>
      <c r="N137" t="s">
        <v>736</v>
      </c>
      <c r="O137" t="s">
        <v>29</v>
      </c>
      <c r="P137" t="s">
        <v>30</v>
      </c>
      <c r="Q137" t="s">
        <v>737</v>
      </c>
      <c r="R137">
        <v>1832.56</v>
      </c>
      <c r="S137">
        <v>7</v>
      </c>
      <c r="T137">
        <v>0.3</v>
      </c>
      <c r="U137">
        <v>416.28</v>
      </c>
    </row>
    <row r="138" spans="1:21" x14ac:dyDescent="0.35">
      <c r="A138" t="s">
        <v>738</v>
      </c>
      <c r="B138" s="2">
        <v>42439</v>
      </c>
      <c r="C138" s="2" t="str">
        <f t="shared" si="4"/>
        <v>March</v>
      </c>
      <c r="D138" s="2" t="str">
        <f t="shared" si="5"/>
        <v>2016</v>
      </c>
      <c r="E138" s="2" t="s">
        <v>5947</v>
      </c>
      <c r="F138" t="s">
        <v>20</v>
      </c>
      <c r="G138" t="s">
        <v>739</v>
      </c>
      <c r="H138" t="s">
        <v>740</v>
      </c>
      <c r="I138" t="s">
        <v>35</v>
      </c>
      <c r="J138" t="s">
        <v>24</v>
      </c>
      <c r="K138" t="s">
        <v>103</v>
      </c>
      <c r="L138" t="s">
        <v>65</v>
      </c>
      <c r="M138" t="s">
        <v>57</v>
      </c>
      <c r="N138" t="s">
        <v>741</v>
      </c>
      <c r="O138" t="s">
        <v>48</v>
      </c>
      <c r="P138" t="s">
        <v>128</v>
      </c>
      <c r="Q138" t="s">
        <v>742</v>
      </c>
      <c r="R138">
        <v>659.5</v>
      </c>
      <c r="S138">
        <v>5</v>
      </c>
      <c r="T138">
        <v>0</v>
      </c>
      <c r="U138">
        <v>310.64999999999998</v>
      </c>
    </row>
    <row r="139" spans="1:21" x14ac:dyDescent="0.35">
      <c r="A139" t="s">
        <v>743</v>
      </c>
      <c r="B139" s="2">
        <v>42652</v>
      </c>
      <c r="C139" s="2" t="str">
        <f t="shared" si="4"/>
        <v>October</v>
      </c>
      <c r="D139" s="2" t="str">
        <f t="shared" si="5"/>
        <v>2016</v>
      </c>
      <c r="E139" s="2" t="s">
        <v>6048</v>
      </c>
      <c r="F139" t="s">
        <v>52</v>
      </c>
      <c r="G139" t="s">
        <v>744</v>
      </c>
      <c r="H139" t="s">
        <v>745</v>
      </c>
      <c r="I139" t="s">
        <v>35</v>
      </c>
      <c r="J139" t="s">
        <v>24</v>
      </c>
      <c r="K139" t="s">
        <v>133</v>
      </c>
      <c r="L139" t="s">
        <v>26</v>
      </c>
      <c r="M139" t="s">
        <v>57</v>
      </c>
      <c r="N139" t="s">
        <v>746</v>
      </c>
      <c r="O139" t="s">
        <v>29</v>
      </c>
      <c r="P139" t="s">
        <v>39</v>
      </c>
      <c r="Q139" t="s">
        <v>747</v>
      </c>
      <c r="R139">
        <v>771.56</v>
      </c>
      <c r="S139">
        <v>8</v>
      </c>
      <c r="T139">
        <v>0</v>
      </c>
      <c r="U139">
        <v>93.83</v>
      </c>
    </row>
    <row r="140" spans="1:21" x14ac:dyDescent="0.35">
      <c r="A140" t="s">
        <v>748</v>
      </c>
      <c r="B140" s="2">
        <v>43471</v>
      </c>
      <c r="C140" s="2" t="str">
        <f t="shared" si="4"/>
        <v>January</v>
      </c>
      <c r="D140" s="2" t="str">
        <f t="shared" si="5"/>
        <v>2019</v>
      </c>
      <c r="E140" s="2" t="s">
        <v>6225</v>
      </c>
      <c r="F140" t="s">
        <v>52</v>
      </c>
      <c r="G140" t="s">
        <v>749</v>
      </c>
      <c r="H140" t="s">
        <v>750</v>
      </c>
      <c r="I140" t="s">
        <v>23</v>
      </c>
      <c r="J140" t="s">
        <v>24</v>
      </c>
      <c r="K140" t="s">
        <v>81</v>
      </c>
      <c r="L140" t="s">
        <v>170</v>
      </c>
      <c r="M140" t="s">
        <v>74</v>
      </c>
      <c r="N140" t="s">
        <v>751</v>
      </c>
      <c r="O140" t="s">
        <v>29</v>
      </c>
      <c r="P140" t="s">
        <v>39</v>
      </c>
      <c r="Q140" t="s">
        <v>752</v>
      </c>
      <c r="R140">
        <v>1403.66</v>
      </c>
      <c r="S140">
        <v>3</v>
      </c>
      <c r="T140">
        <v>0</v>
      </c>
      <c r="U140">
        <v>647.07000000000005</v>
      </c>
    </row>
    <row r="141" spans="1:21" x14ac:dyDescent="0.35">
      <c r="A141" t="s">
        <v>753</v>
      </c>
      <c r="B141" s="2">
        <v>42603</v>
      </c>
      <c r="C141" s="2" t="str">
        <f t="shared" si="4"/>
        <v>August</v>
      </c>
      <c r="D141" s="2" t="str">
        <f t="shared" si="5"/>
        <v>2016</v>
      </c>
      <c r="E141" s="2" t="s">
        <v>5926</v>
      </c>
      <c r="F141" t="s">
        <v>42</v>
      </c>
      <c r="G141" t="s">
        <v>754</v>
      </c>
      <c r="H141" t="s">
        <v>755</v>
      </c>
      <c r="I141" t="s">
        <v>55</v>
      </c>
      <c r="J141" t="s">
        <v>24</v>
      </c>
      <c r="K141" t="s">
        <v>97</v>
      </c>
      <c r="L141" t="s">
        <v>56</v>
      </c>
      <c r="M141" t="s">
        <v>27</v>
      </c>
      <c r="N141" t="s">
        <v>756</v>
      </c>
      <c r="O141" t="s">
        <v>67</v>
      </c>
      <c r="P141" t="s">
        <v>117</v>
      </c>
      <c r="Q141" t="s">
        <v>757</v>
      </c>
      <c r="R141">
        <v>18.47</v>
      </c>
      <c r="S141">
        <v>4</v>
      </c>
      <c r="T141">
        <v>0</v>
      </c>
      <c r="U141">
        <v>4.0599999999999996</v>
      </c>
    </row>
    <row r="142" spans="1:21" x14ac:dyDescent="0.35">
      <c r="A142" t="s">
        <v>758</v>
      </c>
      <c r="B142" s="2">
        <v>42578</v>
      </c>
      <c r="C142" s="2" t="str">
        <f t="shared" si="4"/>
        <v>July</v>
      </c>
      <c r="D142" s="2" t="str">
        <f t="shared" si="5"/>
        <v>2016</v>
      </c>
      <c r="E142" s="2" t="s">
        <v>6226</v>
      </c>
      <c r="F142" t="s">
        <v>52</v>
      </c>
      <c r="G142" t="s">
        <v>759</v>
      </c>
      <c r="H142" t="s">
        <v>760</v>
      </c>
      <c r="I142" t="s">
        <v>55</v>
      </c>
      <c r="J142" t="s">
        <v>24</v>
      </c>
      <c r="K142" t="s">
        <v>103</v>
      </c>
      <c r="L142" t="s">
        <v>56</v>
      </c>
      <c r="M142" t="s">
        <v>83</v>
      </c>
      <c r="N142" t="s">
        <v>761</v>
      </c>
      <c r="O142" t="s">
        <v>67</v>
      </c>
      <c r="P142" t="s">
        <v>92</v>
      </c>
      <c r="Q142" t="s">
        <v>762</v>
      </c>
      <c r="R142">
        <v>989.23</v>
      </c>
      <c r="S142">
        <v>10</v>
      </c>
      <c r="T142">
        <v>0.2</v>
      </c>
      <c r="U142">
        <v>390.65</v>
      </c>
    </row>
    <row r="143" spans="1:21" x14ac:dyDescent="0.35">
      <c r="A143" t="s">
        <v>763</v>
      </c>
      <c r="B143" s="2">
        <v>43580</v>
      </c>
      <c r="C143" s="2" t="str">
        <f t="shared" si="4"/>
        <v>April</v>
      </c>
      <c r="D143" s="2" t="str">
        <f t="shared" si="5"/>
        <v>2019</v>
      </c>
      <c r="E143" s="2">
        <v>43501</v>
      </c>
      <c r="F143" t="s">
        <v>42</v>
      </c>
      <c r="G143" t="s">
        <v>764</v>
      </c>
      <c r="H143" t="s">
        <v>765</v>
      </c>
      <c r="I143" t="s">
        <v>55</v>
      </c>
      <c r="J143" t="s">
        <v>24</v>
      </c>
      <c r="K143" t="s">
        <v>73</v>
      </c>
      <c r="L143" t="s">
        <v>115</v>
      </c>
      <c r="M143" t="s">
        <v>57</v>
      </c>
      <c r="N143" t="s">
        <v>766</v>
      </c>
      <c r="O143" t="s">
        <v>29</v>
      </c>
      <c r="P143" t="s">
        <v>110</v>
      </c>
      <c r="Q143" t="s">
        <v>603</v>
      </c>
      <c r="R143">
        <v>1943.12</v>
      </c>
      <c r="S143">
        <v>10</v>
      </c>
      <c r="T143">
        <v>0.1</v>
      </c>
      <c r="U143">
        <v>434.33</v>
      </c>
    </row>
    <row r="144" spans="1:21" x14ac:dyDescent="0.35">
      <c r="A144" t="s">
        <v>767</v>
      </c>
      <c r="B144" s="2">
        <v>43680</v>
      </c>
      <c r="C144" s="2" t="str">
        <f t="shared" si="4"/>
        <v>August</v>
      </c>
      <c r="D144" s="2" t="str">
        <f t="shared" si="5"/>
        <v>2019</v>
      </c>
      <c r="E144" s="2">
        <v>43685</v>
      </c>
      <c r="F144" t="s">
        <v>62</v>
      </c>
      <c r="G144" t="s">
        <v>393</v>
      </c>
      <c r="H144" t="s">
        <v>768</v>
      </c>
      <c r="I144" t="s">
        <v>55</v>
      </c>
      <c r="J144" t="s">
        <v>24</v>
      </c>
      <c r="K144" t="s">
        <v>73</v>
      </c>
      <c r="L144" t="s">
        <v>170</v>
      </c>
      <c r="M144" t="s">
        <v>27</v>
      </c>
      <c r="N144" t="s">
        <v>769</v>
      </c>
      <c r="O144" t="s">
        <v>29</v>
      </c>
      <c r="P144" t="s">
        <v>30</v>
      </c>
      <c r="Q144" t="s">
        <v>770</v>
      </c>
      <c r="R144">
        <v>518.79999999999995</v>
      </c>
      <c r="S144">
        <v>3</v>
      </c>
      <c r="T144">
        <v>0</v>
      </c>
      <c r="U144">
        <v>121.19</v>
      </c>
    </row>
    <row r="145" spans="1:21" x14ac:dyDescent="0.35">
      <c r="A145" t="s">
        <v>771</v>
      </c>
      <c r="B145" s="2">
        <v>42963</v>
      </c>
      <c r="C145" s="2" t="str">
        <f t="shared" si="4"/>
        <v>August</v>
      </c>
      <c r="D145" s="2" t="str">
        <f t="shared" si="5"/>
        <v>2017</v>
      </c>
      <c r="E145" s="2" t="s">
        <v>5950</v>
      </c>
      <c r="F145" t="s">
        <v>52</v>
      </c>
      <c r="G145" t="s">
        <v>772</v>
      </c>
      <c r="H145" t="s">
        <v>773</v>
      </c>
      <c r="I145" t="s">
        <v>55</v>
      </c>
      <c r="J145" t="s">
        <v>24</v>
      </c>
      <c r="K145" t="s">
        <v>89</v>
      </c>
      <c r="L145" t="s">
        <v>82</v>
      </c>
      <c r="M145" t="s">
        <v>57</v>
      </c>
      <c r="N145" t="s">
        <v>774</v>
      </c>
      <c r="O145" t="s">
        <v>67</v>
      </c>
      <c r="P145" t="s">
        <v>350</v>
      </c>
      <c r="Q145" t="s">
        <v>775</v>
      </c>
      <c r="R145">
        <v>498.99</v>
      </c>
      <c r="S145">
        <v>4</v>
      </c>
      <c r="T145">
        <v>0</v>
      </c>
      <c r="U145">
        <v>-128.34</v>
      </c>
    </row>
    <row r="146" spans="1:21" x14ac:dyDescent="0.35">
      <c r="A146" t="s">
        <v>776</v>
      </c>
      <c r="B146" s="2">
        <v>43486</v>
      </c>
      <c r="C146" s="2" t="str">
        <f t="shared" si="4"/>
        <v>January</v>
      </c>
      <c r="D146" s="2" t="str">
        <f t="shared" si="5"/>
        <v>2019</v>
      </c>
      <c r="E146" s="2" t="s">
        <v>6165</v>
      </c>
      <c r="F146" t="s">
        <v>42</v>
      </c>
      <c r="G146" t="s">
        <v>777</v>
      </c>
      <c r="H146" t="s">
        <v>778</v>
      </c>
      <c r="I146" t="s">
        <v>35</v>
      </c>
      <c r="J146" t="s">
        <v>24</v>
      </c>
      <c r="K146" t="s">
        <v>25</v>
      </c>
      <c r="L146" t="s">
        <v>37</v>
      </c>
      <c r="M146" t="s">
        <v>74</v>
      </c>
      <c r="N146" t="s">
        <v>779</v>
      </c>
      <c r="O146" t="s">
        <v>48</v>
      </c>
      <c r="P146" t="s">
        <v>59</v>
      </c>
      <c r="Q146" t="s">
        <v>780</v>
      </c>
      <c r="R146">
        <v>579.91999999999996</v>
      </c>
      <c r="S146">
        <v>4</v>
      </c>
      <c r="T146">
        <v>0.1</v>
      </c>
      <c r="U146">
        <v>114.8</v>
      </c>
    </row>
    <row r="147" spans="1:21" x14ac:dyDescent="0.35">
      <c r="A147" t="s">
        <v>781</v>
      </c>
      <c r="B147" s="2">
        <v>43331</v>
      </c>
      <c r="C147" s="2" t="str">
        <f t="shared" si="4"/>
        <v>August</v>
      </c>
      <c r="D147" s="2" t="str">
        <f t="shared" si="5"/>
        <v>2018</v>
      </c>
      <c r="E147" s="2" t="s">
        <v>6227</v>
      </c>
      <c r="F147" t="s">
        <v>52</v>
      </c>
      <c r="G147" t="s">
        <v>782</v>
      </c>
      <c r="H147" t="s">
        <v>783</v>
      </c>
      <c r="I147" t="s">
        <v>23</v>
      </c>
      <c r="J147" t="s">
        <v>24</v>
      </c>
      <c r="K147" t="s">
        <v>97</v>
      </c>
      <c r="L147" t="s">
        <v>115</v>
      </c>
      <c r="M147" t="s">
        <v>57</v>
      </c>
      <c r="N147" t="s">
        <v>784</v>
      </c>
      <c r="O147" t="s">
        <v>67</v>
      </c>
      <c r="P147" t="s">
        <v>197</v>
      </c>
      <c r="Q147" t="s">
        <v>785</v>
      </c>
      <c r="R147">
        <v>1772.24</v>
      </c>
      <c r="S147">
        <v>2</v>
      </c>
      <c r="T147">
        <v>0</v>
      </c>
      <c r="U147">
        <v>162.94999999999999</v>
      </c>
    </row>
    <row r="148" spans="1:21" x14ac:dyDescent="0.35">
      <c r="A148" t="s">
        <v>786</v>
      </c>
      <c r="B148" s="2">
        <v>43830</v>
      </c>
      <c r="C148" s="2" t="str">
        <f t="shared" si="4"/>
        <v>December</v>
      </c>
      <c r="D148" s="2" t="str">
        <f t="shared" si="5"/>
        <v>2019</v>
      </c>
      <c r="E148" s="2">
        <v>43862</v>
      </c>
      <c r="F148" t="s">
        <v>42</v>
      </c>
      <c r="G148" t="s">
        <v>787</v>
      </c>
      <c r="H148" t="s">
        <v>788</v>
      </c>
      <c r="I148" t="s">
        <v>55</v>
      </c>
      <c r="J148" t="s">
        <v>24</v>
      </c>
      <c r="K148" t="s">
        <v>89</v>
      </c>
      <c r="L148" t="s">
        <v>46</v>
      </c>
      <c r="M148" t="s">
        <v>83</v>
      </c>
      <c r="N148" t="s">
        <v>789</v>
      </c>
      <c r="O148" t="s">
        <v>48</v>
      </c>
      <c r="P148" t="s">
        <v>59</v>
      </c>
      <c r="Q148" t="s">
        <v>790</v>
      </c>
      <c r="R148">
        <v>628.79999999999995</v>
      </c>
      <c r="S148">
        <v>9</v>
      </c>
      <c r="T148">
        <v>0.4</v>
      </c>
      <c r="U148">
        <v>-101.04</v>
      </c>
    </row>
    <row r="149" spans="1:21" x14ac:dyDescent="0.35">
      <c r="A149" t="s">
        <v>791</v>
      </c>
      <c r="B149" s="2">
        <v>42509</v>
      </c>
      <c r="C149" s="2" t="str">
        <f t="shared" si="4"/>
        <v>May</v>
      </c>
      <c r="D149" s="2" t="str">
        <f t="shared" si="5"/>
        <v>2016</v>
      </c>
      <c r="E149" s="2" t="s">
        <v>6228</v>
      </c>
      <c r="F149" t="s">
        <v>20</v>
      </c>
      <c r="G149" t="s">
        <v>792</v>
      </c>
      <c r="H149" t="s">
        <v>793</v>
      </c>
      <c r="I149" t="s">
        <v>35</v>
      </c>
      <c r="J149" t="s">
        <v>24</v>
      </c>
      <c r="K149" t="s">
        <v>133</v>
      </c>
      <c r="L149" t="s">
        <v>26</v>
      </c>
      <c r="M149" t="s">
        <v>57</v>
      </c>
      <c r="N149" t="s">
        <v>794</v>
      </c>
      <c r="O149" t="s">
        <v>67</v>
      </c>
      <c r="P149" t="s">
        <v>350</v>
      </c>
      <c r="Q149" t="s">
        <v>795</v>
      </c>
      <c r="R149">
        <v>1356.53</v>
      </c>
      <c r="S149">
        <v>8</v>
      </c>
      <c r="T149">
        <v>0</v>
      </c>
      <c r="U149">
        <v>278.02999999999997</v>
      </c>
    </row>
    <row r="150" spans="1:21" x14ac:dyDescent="0.35">
      <c r="A150" t="s">
        <v>796</v>
      </c>
      <c r="B150" s="2">
        <v>43711</v>
      </c>
      <c r="C150" s="2" t="str">
        <f t="shared" si="4"/>
        <v>September</v>
      </c>
      <c r="D150" s="2" t="str">
        <f t="shared" si="5"/>
        <v>2019</v>
      </c>
      <c r="E150" s="2">
        <v>43717</v>
      </c>
      <c r="F150" t="s">
        <v>20</v>
      </c>
      <c r="G150" t="s">
        <v>797</v>
      </c>
      <c r="H150" t="s">
        <v>798</v>
      </c>
      <c r="I150" t="s">
        <v>23</v>
      </c>
      <c r="J150" t="s">
        <v>24</v>
      </c>
      <c r="K150" t="s">
        <v>97</v>
      </c>
      <c r="L150" t="s">
        <v>170</v>
      </c>
      <c r="M150" t="s">
        <v>83</v>
      </c>
      <c r="N150" t="s">
        <v>799</v>
      </c>
      <c r="O150" t="s">
        <v>67</v>
      </c>
      <c r="P150" t="s">
        <v>117</v>
      </c>
      <c r="Q150" t="s">
        <v>800</v>
      </c>
      <c r="R150">
        <v>819.72</v>
      </c>
      <c r="S150">
        <v>8</v>
      </c>
      <c r="T150">
        <v>0</v>
      </c>
      <c r="U150">
        <v>393.7</v>
      </c>
    </row>
    <row r="151" spans="1:21" x14ac:dyDescent="0.35">
      <c r="A151" t="s">
        <v>801</v>
      </c>
      <c r="B151" s="2">
        <v>43089</v>
      </c>
      <c r="C151" s="2" t="str">
        <f t="shared" si="4"/>
        <v>December</v>
      </c>
      <c r="D151" s="2" t="str">
        <f t="shared" si="5"/>
        <v>2017</v>
      </c>
      <c r="E151" s="2" t="s">
        <v>6229</v>
      </c>
      <c r="F151" t="s">
        <v>52</v>
      </c>
      <c r="G151" t="s">
        <v>802</v>
      </c>
      <c r="H151" t="s">
        <v>803</v>
      </c>
      <c r="I151" t="s">
        <v>55</v>
      </c>
      <c r="J151" t="s">
        <v>24</v>
      </c>
      <c r="K151" t="s">
        <v>45</v>
      </c>
      <c r="L151" t="s">
        <v>37</v>
      </c>
      <c r="M151" t="s">
        <v>57</v>
      </c>
      <c r="N151" t="s">
        <v>804</v>
      </c>
      <c r="O151" t="s">
        <v>48</v>
      </c>
      <c r="P151" t="s">
        <v>49</v>
      </c>
      <c r="Q151" t="s">
        <v>805</v>
      </c>
      <c r="R151">
        <v>11.02</v>
      </c>
      <c r="S151">
        <v>9</v>
      </c>
      <c r="T151">
        <v>0.4</v>
      </c>
      <c r="U151">
        <v>5.23</v>
      </c>
    </row>
    <row r="152" spans="1:21" x14ac:dyDescent="0.35">
      <c r="A152" t="s">
        <v>806</v>
      </c>
      <c r="B152" s="2">
        <v>43799</v>
      </c>
      <c r="C152" s="2" t="str">
        <f t="shared" si="4"/>
        <v>November</v>
      </c>
      <c r="D152" s="2" t="str">
        <f t="shared" si="5"/>
        <v>2019</v>
      </c>
      <c r="E152" s="2">
        <v>43508</v>
      </c>
      <c r="F152" t="s">
        <v>20</v>
      </c>
      <c r="G152" t="s">
        <v>807</v>
      </c>
      <c r="H152" t="s">
        <v>808</v>
      </c>
      <c r="I152" t="s">
        <v>55</v>
      </c>
      <c r="J152" t="s">
        <v>24</v>
      </c>
      <c r="K152" t="s">
        <v>25</v>
      </c>
      <c r="L152" t="s">
        <v>65</v>
      </c>
      <c r="M152" t="s">
        <v>74</v>
      </c>
      <c r="N152" t="s">
        <v>809</v>
      </c>
      <c r="O152" t="s">
        <v>67</v>
      </c>
      <c r="P152" t="s">
        <v>350</v>
      </c>
      <c r="Q152" t="s">
        <v>810</v>
      </c>
      <c r="R152">
        <v>841.01</v>
      </c>
      <c r="S152">
        <v>5</v>
      </c>
      <c r="T152">
        <v>0.2</v>
      </c>
      <c r="U152">
        <v>179.56</v>
      </c>
    </row>
    <row r="153" spans="1:21" x14ac:dyDescent="0.35">
      <c r="A153" t="s">
        <v>811</v>
      </c>
      <c r="B153" s="2">
        <v>43578</v>
      </c>
      <c r="C153" s="2" t="str">
        <f t="shared" si="4"/>
        <v>April</v>
      </c>
      <c r="D153" s="2" t="str">
        <f t="shared" si="5"/>
        <v>2019</v>
      </c>
      <c r="E153" s="2">
        <v>43470</v>
      </c>
      <c r="F153" t="s">
        <v>62</v>
      </c>
      <c r="G153" t="s">
        <v>812</v>
      </c>
      <c r="H153" t="s">
        <v>288</v>
      </c>
      <c r="I153" t="s">
        <v>55</v>
      </c>
      <c r="J153" t="s">
        <v>24</v>
      </c>
      <c r="K153" t="s">
        <v>73</v>
      </c>
      <c r="L153" t="s">
        <v>170</v>
      </c>
      <c r="M153" t="s">
        <v>57</v>
      </c>
      <c r="N153" t="s">
        <v>813</v>
      </c>
      <c r="O153" t="s">
        <v>67</v>
      </c>
      <c r="P153" t="s">
        <v>197</v>
      </c>
      <c r="Q153" t="s">
        <v>814</v>
      </c>
      <c r="R153">
        <v>29.62</v>
      </c>
      <c r="S153">
        <v>6</v>
      </c>
      <c r="T153">
        <v>0.2</v>
      </c>
      <c r="U153">
        <v>13.83</v>
      </c>
    </row>
    <row r="154" spans="1:21" x14ac:dyDescent="0.35">
      <c r="A154" t="s">
        <v>815</v>
      </c>
      <c r="B154" s="2">
        <v>43827</v>
      </c>
      <c r="C154" s="2" t="str">
        <f t="shared" si="4"/>
        <v>December</v>
      </c>
      <c r="D154" s="2" t="str">
        <f t="shared" si="5"/>
        <v>2019</v>
      </c>
      <c r="E154" s="2">
        <v>43862</v>
      </c>
      <c r="F154" t="s">
        <v>20</v>
      </c>
      <c r="G154" t="s">
        <v>816</v>
      </c>
      <c r="H154" t="s">
        <v>817</v>
      </c>
      <c r="I154" t="s">
        <v>23</v>
      </c>
      <c r="J154" t="s">
        <v>24</v>
      </c>
      <c r="K154" t="s">
        <v>212</v>
      </c>
      <c r="L154" t="s">
        <v>36</v>
      </c>
      <c r="M154" t="s">
        <v>27</v>
      </c>
      <c r="N154" t="s">
        <v>818</v>
      </c>
      <c r="O154" t="s">
        <v>29</v>
      </c>
      <c r="P154" t="s">
        <v>30</v>
      </c>
      <c r="Q154" t="s">
        <v>819</v>
      </c>
      <c r="R154">
        <v>924.93</v>
      </c>
      <c r="S154">
        <v>4</v>
      </c>
      <c r="T154">
        <v>0.3</v>
      </c>
      <c r="U154">
        <v>79.42</v>
      </c>
    </row>
    <row r="155" spans="1:21" x14ac:dyDescent="0.35">
      <c r="A155" t="s">
        <v>820</v>
      </c>
      <c r="B155" s="2">
        <v>42516</v>
      </c>
      <c r="C155" s="2" t="str">
        <f t="shared" si="4"/>
        <v>May</v>
      </c>
      <c r="D155" s="2" t="str">
        <f t="shared" si="5"/>
        <v>2016</v>
      </c>
      <c r="E155" s="2">
        <v>42466</v>
      </c>
      <c r="F155" t="s">
        <v>42</v>
      </c>
      <c r="G155" t="s">
        <v>821</v>
      </c>
      <c r="H155" t="s">
        <v>576</v>
      </c>
      <c r="I155" t="s">
        <v>23</v>
      </c>
      <c r="J155" t="s">
        <v>24</v>
      </c>
      <c r="K155" t="s">
        <v>103</v>
      </c>
      <c r="L155" t="s">
        <v>90</v>
      </c>
      <c r="M155" t="s">
        <v>83</v>
      </c>
      <c r="N155" t="s">
        <v>822</v>
      </c>
      <c r="O155" t="s">
        <v>48</v>
      </c>
      <c r="P155" t="s">
        <v>49</v>
      </c>
      <c r="Q155" t="s">
        <v>823</v>
      </c>
      <c r="R155">
        <v>1713.75</v>
      </c>
      <c r="S155">
        <v>9</v>
      </c>
      <c r="T155">
        <v>0.3</v>
      </c>
      <c r="U155">
        <v>784.88</v>
      </c>
    </row>
    <row r="156" spans="1:21" x14ac:dyDescent="0.35">
      <c r="A156" t="s">
        <v>824</v>
      </c>
      <c r="B156" s="2">
        <v>43813</v>
      </c>
      <c r="C156" s="2" t="str">
        <f t="shared" si="4"/>
        <v>December</v>
      </c>
      <c r="D156" s="2" t="str">
        <f t="shared" si="5"/>
        <v>2019</v>
      </c>
      <c r="E156" s="2" t="s">
        <v>6230</v>
      </c>
      <c r="F156" t="s">
        <v>52</v>
      </c>
      <c r="G156" t="s">
        <v>825</v>
      </c>
      <c r="H156" t="s">
        <v>826</v>
      </c>
      <c r="I156" t="s">
        <v>55</v>
      </c>
      <c r="J156" t="s">
        <v>24</v>
      </c>
      <c r="K156" t="s">
        <v>81</v>
      </c>
      <c r="L156" t="s">
        <v>26</v>
      </c>
      <c r="M156" t="s">
        <v>74</v>
      </c>
      <c r="N156" t="s">
        <v>827</v>
      </c>
      <c r="O156" t="s">
        <v>67</v>
      </c>
      <c r="P156" t="s">
        <v>68</v>
      </c>
      <c r="Q156" t="s">
        <v>828</v>
      </c>
      <c r="R156">
        <v>1183</v>
      </c>
      <c r="S156">
        <v>5</v>
      </c>
      <c r="T156">
        <v>0</v>
      </c>
      <c r="U156">
        <v>-155.84</v>
      </c>
    </row>
    <row r="157" spans="1:21" x14ac:dyDescent="0.35">
      <c r="A157" t="s">
        <v>829</v>
      </c>
      <c r="B157" s="2">
        <v>43429</v>
      </c>
      <c r="C157" s="2" t="str">
        <f t="shared" si="4"/>
        <v>November</v>
      </c>
      <c r="D157" s="2" t="str">
        <f t="shared" si="5"/>
        <v>2018</v>
      </c>
      <c r="E157" s="2">
        <v>43112</v>
      </c>
      <c r="F157" t="s">
        <v>62</v>
      </c>
      <c r="G157" t="s">
        <v>830</v>
      </c>
      <c r="H157" t="s">
        <v>831</v>
      </c>
      <c r="I157" t="s">
        <v>23</v>
      </c>
      <c r="J157" t="s">
        <v>24</v>
      </c>
      <c r="K157" t="s">
        <v>103</v>
      </c>
      <c r="L157" t="s">
        <v>90</v>
      </c>
      <c r="M157" t="s">
        <v>83</v>
      </c>
      <c r="N157" t="s">
        <v>832</v>
      </c>
      <c r="O157" t="s">
        <v>29</v>
      </c>
      <c r="P157" t="s">
        <v>30</v>
      </c>
      <c r="Q157" t="s">
        <v>833</v>
      </c>
      <c r="R157">
        <v>814.21</v>
      </c>
      <c r="S157">
        <v>5</v>
      </c>
      <c r="T157">
        <v>0.3</v>
      </c>
      <c r="U157">
        <v>-134.22999999999999</v>
      </c>
    </row>
    <row r="158" spans="1:21" x14ac:dyDescent="0.35">
      <c r="A158" t="s">
        <v>834</v>
      </c>
      <c r="B158" s="2">
        <v>42756</v>
      </c>
      <c r="C158" s="2" t="str">
        <f t="shared" si="4"/>
        <v>January</v>
      </c>
      <c r="D158" s="2" t="str">
        <f t="shared" si="5"/>
        <v>2017</v>
      </c>
      <c r="E158" s="2" t="s">
        <v>6231</v>
      </c>
      <c r="F158" t="s">
        <v>52</v>
      </c>
      <c r="G158" t="s">
        <v>835</v>
      </c>
      <c r="H158" t="s">
        <v>836</v>
      </c>
      <c r="I158" t="s">
        <v>35</v>
      </c>
      <c r="J158" t="s">
        <v>24</v>
      </c>
      <c r="K158" t="s">
        <v>25</v>
      </c>
      <c r="L158" t="s">
        <v>115</v>
      </c>
      <c r="M158" t="s">
        <v>83</v>
      </c>
      <c r="N158" t="s">
        <v>837</v>
      </c>
      <c r="O158" t="s">
        <v>29</v>
      </c>
      <c r="P158" t="s">
        <v>155</v>
      </c>
      <c r="Q158" t="s">
        <v>838</v>
      </c>
      <c r="R158">
        <v>1155.5</v>
      </c>
      <c r="S158">
        <v>10</v>
      </c>
      <c r="T158">
        <v>0</v>
      </c>
      <c r="U158">
        <v>-60.67</v>
      </c>
    </row>
    <row r="159" spans="1:21" x14ac:dyDescent="0.35">
      <c r="A159" t="s">
        <v>839</v>
      </c>
      <c r="B159" s="2">
        <v>43080</v>
      </c>
      <c r="C159" s="2" t="str">
        <f t="shared" si="4"/>
        <v>December</v>
      </c>
      <c r="D159" s="2" t="str">
        <f t="shared" si="5"/>
        <v>2017</v>
      </c>
      <c r="E159" s="2" t="s">
        <v>5987</v>
      </c>
      <c r="F159" t="s">
        <v>62</v>
      </c>
      <c r="G159" t="s">
        <v>840</v>
      </c>
      <c r="H159" t="s">
        <v>841</v>
      </c>
      <c r="I159" t="s">
        <v>35</v>
      </c>
      <c r="J159" t="s">
        <v>24</v>
      </c>
      <c r="K159" t="s">
        <v>81</v>
      </c>
      <c r="L159" t="s">
        <v>65</v>
      </c>
      <c r="M159" t="s">
        <v>27</v>
      </c>
      <c r="N159" t="s">
        <v>842</v>
      </c>
      <c r="O159" t="s">
        <v>29</v>
      </c>
      <c r="P159" t="s">
        <v>30</v>
      </c>
      <c r="Q159" t="s">
        <v>843</v>
      </c>
      <c r="R159">
        <v>1077.07</v>
      </c>
      <c r="S159">
        <v>10</v>
      </c>
      <c r="T159">
        <v>0</v>
      </c>
      <c r="U159">
        <v>485.08</v>
      </c>
    </row>
    <row r="160" spans="1:21" x14ac:dyDescent="0.35">
      <c r="A160" t="s">
        <v>844</v>
      </c>
      <c r="B160" s="2">
        <v>43161</v>
      </c>
      <c r="C160" s="2" t="str">
        <f t="shared" si="4"/>
        <v>March</v>
      </c>
      <c r="D160" s="2" t="str">
        <f t="shared" si="5"/>
        <v>2018</v>
      </c>
      <c r="E160" s="2">
        <v>43284</v>
      </c>
      <c r="F160" t="s">
        <v>52</v>
      </c>
      <c r="G160" t="s">
        <v>845</v>
      </c>
      <c r="H160" t="s">
        <v>846</v>
      </c>
      <c r="I160" t="s">
        <v>23</v>
      </c>
      <c r="J160" t="s">
        <v>24</v>
      </c>
      <c r="K160" t="s">
        <v>133</v>
      </c>
      <c r="L160" t="s">
        <v>36</v>
      </c>
      <c r="M160" t="s">
        <v>83</v>
      </c>
      <c r="N160" t="s">
        <v>847</v>
      </c>
      <c r="O160" t="s">
        <v>29</v>
      </c>
      <c r="P160" t="s">
        <v>39</v>
      </c>
      <c r="Q160" t="s">
        <v>848</v>
      </c>
      <c r="R160">
        <v>992.92</v>
      </c>
      <c r="S160">
        <v>1</v>
      </c>
      <c r="T160">
        <v>0</v>
      </c>
      <c r="U160">
        <v>3.31</v>
      </c>
    </row>
    <row r="161" spans="1:21" x14ac:dyDescent="0.35">
      <c r="A161" t="s">
        <v>849</v>
      </c>
      <c r="B161" s="2">
        <v>42831</v>
      </c>
      <c r="C161" s="2" t="str">
        <f t="shared" si="4"/>
        <v>April</v>
      </c>
      <c r="D161" s="2" t="str">
        <f t="shared" si="5"/>
        <v>2017</v>
      </c>
      <c r="E161" s="2">
        <v>42951</v>
      </c>
      <c r="F161" t="s">
        <v>52</v>
      </c>
      <c r="G161" t="s">
        <v>850</v>
      </c>
      <c r="H161" t="s">
        <v>851</v>
      </c>
      <c r="I161" t="s">
        <v>35</v>
      </c>
      <c r="J161" t="s">
        <v>24</v>
      </c>
      <c r="K161" t="s">
        <v>212</v>
      </c>
      <c r="L161" t="s">
        <v>82</v>
      </c>
      <c r="M161" t="s">
        <v>74</v>
      </c>
      <c r="N161" t="s">
        <v>852</v>
      </c>
      <c r="O161" t="s">
        <v>48</v>
      </c>
      <c r="P161" t="s">
        <v>49</v>
      </c>
      <c r="Q161" t="s">
        <v>853</v>
      </c>
      <c r="R161">
        <v>1105.5</v>
      </c>
      <c r="S161">
        <v>2</v>
      </c>
      <c r="T161">
        <v>0.1</v>
      </c>
      <c r="U161">
        <v>432.69</v>
      </c>
    </row>
    <row r="162" spans="1:21" x14ac:dyDescent="0.35">
      <c r="A162" t="s">
        <v>854</v>
      </c>
      <c r="B162" s="2">
        <v>42445</v>
      </c>
      <c r="C162" s="2" t="str">
        <f t="shared" si="4"/>
        <v>March</v>
      </c>
      <c r="D162" s="2" t="str">
        <f t="shared" si="5"/>
        <v>2016</v>
      </c>
      <c r="E162" s="2" t="s">
        <v>6232</v>
      </c>
      <c r="F162" t="s">
        <v>62</v>
      </c>
      <c r="G162" t="s">
        <v>855</v>
      </c>
      <c r="H162" t="s">
        <v>856</v>
      </c>
      <c r="I162" t="s">
        <v>23</v>
      </c>
      <c r="J162" t="s">
        <v>24</v>
      </c>
      <c r="K162" t="s">
        <v>36</v>
      </c>
      <c r="L162" t="s">
        <v>36</v>
      </c>
      <c r="M162" t="s">
        <v>57</v>
      </c>
      <c r="N162" t="s">
        <v>857</v>
      </c>
      <c r="O162" t="s">
        <v>67</v>
      </c>
      <c r="P162" t="s">
        <v>197</v>
      </c>
      <c r="Q162" t="s">
        <v>858</v>
      </c>
      <c r="R162">
        <v>481.37</v>
      </c>
      <c r="S162">
        <v>9</v>
      </c>
      <c r="T162">
        <v>0.3</v>
      </c>
      <c r="U162">
        <v>42.78</v>
      </c>
    </row>
    <row r="163" spans="1:21" x14ac:dyDescent="0.35">
      <c r="A163" t="s">
        <v>859</v>
      </c>
      <c r="B163" s="2">
        <v>43375</v>
      </c>
      <c r="C163" s="2" t="str">
        <f t="shared" si="4"/>
        <v>October</v>
      </c>
      <c r="D163" s="2" t="str">
        <f t="shared" si="5"/>
        <v>2018</v>
      </c>
      <c r="E163" s="2">
        <v>43200</v>
      </c>
      <c r="F163" t="s">
        <v>52</v>
      </c>
      <c r="G163" t="s">
        <v>860</v>
      </c>
      <c r="H163" t="s">
        <v>861</v>
      </c>
      <c r="I163" t="s">
        <v>35</v>
      </c>
      <c r="J163" t="s">
        <v>24</v>
      </c>
      <c r="K163" t="s">
        <v>89</v>
      </c>
      <c r="L163" t="s">
        <v>115</v>
      </c>
      <c r="M163" t="s">
        <v>83</v>
      </c>
      <c r="N163" t="s">
        <v>862</v>
      </c>
      <c r="O163" t="s">
        <v>29</v>
      </c>
      <c r="P163" t="s">
        <v>39</v>
      </c>
      <c r="Q163" t="s">
        <v>863</v>
      </c>
      <c r="R163">
        <v>209.51</v>
      </c>
      <c r="S163">
        <v>9</v>
      </c>
      <c r="T163">
        <v>0.4</v>
      </c>
      <c r="U163">
        <v>104.42</v>
      </c>
    </row>
    <row r="164" spans="1:21" x14ac:dyDescent="0.35">
      <c r="A164" t="s">
        <v>864</v>
      </c>
      <c r="B164" s="2">
        <v>42883</v>
      </c>
      <c r="C164" s="2" t="str">
        <f t="shared" si="4"/>
        <v>May</v>
      </c>
      <c r="D164" s="2" t="str">
        <f t="shared" si="5"/>
        <v>2017</v>
      </c>
      <c r="E164" s="2">
        <v>42831</v>
      </c>
      <c r="F164" t="s">
        <v>20</v>
      </c>
      <c r="G164" t="s">
        <v>865</v>
      </c>
      <c r="H164" t="s">
        <v>866</v>
      </c>
      <c r="I164" t="s">
        <v>55</v>
      </c>
      <c r="J164" t="s">
        <v>24</v>
      </c>
      <c r="K164" t="s">
        <v>133</v>
      </c>
      <c r="L164" t="s">
        <v>82</v>
      </c>
      <c r="M164" t="s">
        <v>27</v>
      </c>
      <c r="N164" t="s">
        <v>867</v>
      </c>
      <c r="O164" t="s">
        <v>67</v>
      </c>
      <c r="P164" t="s">
        <v>92</v>
      </c>
      <c r="Q164" t="s">
        <v>868</v>
      </c>
      <c r="R164">
        <v>978.78</v>
      </c>
      <c r="S164">
        <v>5</v>
      </c>
      <c r="T164">
        <v>0.4</v>
      </c>
      <c r="U164">
        <v>-2.5299999999999998</v>
      </c>
    </row>
    <row r="165" spans="1:21" x14ac:dyDescent="0.35">
      <c r="A165" t="s">
        <v>869</v>
      </c>
      <c r="B165" s="2">
        <v>42616</v>
      </c>
      <c r="C165" s="2" t="str">
        <f t="shared" si="4"/>
        <v>September</v>
      </c>
      <c r="D165" s="2" t="str">
        <f t="shared" si="5"/>
        <v>2016</v>
      </c>
      <c r="E165" s="2">
        <v>42530</v>
      </c>
      <c r="F165" t="s">
        <v>42</v>
      </c>
      <c r="G165" t="s">
        <v>870</v>
      </c>
      <c r="H165" t="s">
        <v>871</v>
      </c>
      <c r="I165" t="s">
        <v>55</v>
      </c>
      <c r="J165" t="s">
        <v>24</v>
      </c>
      <c r="K165" t="s">
        <v>45</v>
      </c>
      <c r="L165" t="s">
        <v>82</v>
      </c>
      <c r="M165" t="s">
        <v>83</v>
      </c>
      <c r="N165" t="s">
        <v>872</v>
      </c>
      <c r="O165" t="s">
        <v>29</v>
      </c>
      <c r="P165" t="s">
        <v>110</v>
      </c>
      <c r="Q165" t="s">
        <v>873</v>
      </c>
      <c r="R165">
        <v>1403.2</v>
      </c>
      <c r="S165">
        <v>3</v>
      </c>
      <c r="T165">
        <v>0</v>
      </c>
      <c r="U165">
        <v>-14.28</v>
      </c>
    </row>
    <row r="166" spans="1:21" x14ac:dyDescent="0.35">
      <c r="A166" t="s">
        <v>874</v>
      </c>
      <c r="B166" s="2">
        <v>42833</v>
      </c>
      <c r="C166" s="2" t="str">
        <f t="shared" si="4"/>
        <v>April</v>
      </c>
      <c r="D166" s="2" t="str">
        <f t="shared" si="5"/>
        <v>2017</v>
      </c>
      <c r="E166" s="2" t="s">
        <v>6061</v>
      </c>
      <c r="F166" t="s">
        <v>42</v>
      </c>
      <c r="G166" t="s">
        <v>875</v>
      </c>
      <c r="H166" t="s">
        <v>876</v>
      </c>
      <c r="I166" t="s">
        <v>55</v>
      </c>
      <c r="J166" t="s">
        <v>24</v>
      </c>
      <c r="K166" t="s">
        <v>25</v>
      </c>
      <c r="L166" t="s">
        <v>36</v>
      </c>
      <c r="M166" t="s">
        <v>27</v>
      </c>
      <c r="N166" t="s">
        <v>877</v>
      </c>
      <c r="O166" t="s">
        <v>67</v>
      </c>
      <c r="P166" t="s">
        <v>197</v>
      </c>
      <c r="Q166" t="s">
        <v>878</v>
      </c>
      <c r="R166">
        <v>1489.67</v>
      </c>
      <c r="S166">
        <v>2</v>
      </c>
      <c r="T166">
        <v>0.1</v>
      </c>
      <c r="U166">
        <v>-402.38</v>
      </c>
    </row>
    <row r="167" spans="1:21" x14ac:dyDescent="0.35">
      <c r="A167" t="s">
        <v>879</v>
      </c>
      <c r="B167" s="2">
        <v>43461</v>
      </c>
      <c r="C167" s="2" t="str">
        <f t="shared" si="4"/>
        <v>December</v>
      </c>
      <c r="D167" s="2" t="str">
        <f t="shared" si="5"/>
        <v>2018</v>
      </c>
      <c r="E167" s="2" t="s">
        <v>6233</v>
      </c>
      <c r="F167" t="s">
        <v>62</v>
      </c>
      <c r="G167" t="s">
        <v>880</v>
      </c>
      <c r="H167" t="s">
        <v>881</v>
      </c>
      <c r="I167" t="s">
        <v>55</v>
      </c>
      <c r="J167" t="s">
        <v>24</v>
      </c>
      <c r="K167" t="s">
        <v>73</v>
      </c>
      <c r="L167" t="s">
        <v>26</v>
      </c>
      <c r="M167" t="s">
        <v>83</v>
      </c>
      <c r="N167" t="s">
        <v>882</v>
      </c>
      <c r="O167" t="s">
        <v>67</v>
      </c>
      <c r="P167" t="s">
        <v>229</v>
      </c>
      <c r="Q167" t="s">
        <v>883</v>
      </c>
      <c r="R167">
        <v>786.79</v>
      </c>
      <c r="S167">
        <v>7</v>
      </c>
      <c r="T167">
        <v>0.3</v>
      </c>
      <c r="U167">
        <v>235.31</v>
      </c>
    </row>
    <row r="168" spans="1:21" x14ac:dyDescent="0.35">
      <c r="A168" t="s">
        <v>884</v>
      </c>
      <c r="B168" s="2">
        <v>43102</v>
      </c>
      <c r="C168" s="2" t="str">
        <f t="shared" si="4"/>
        <v>January</v>
      </c>
      <c r="D168" s="2" t="str">
        <f t="shared" si="5"/>
        <v>2018</v>
      </c>
      <c r="E168" s="2">
        <v>43160</v>
      </c>
      <c r="F168" t="s">
        <v>62</v>
      </c>
      <c r="G168" t="s">
        <v>885</v>
      </c>
      <c r="H168" t="s">
        <v>886</v>
      </c>
      <c r="I168" t="s">
        <v>35</v>
      </c>
      <c r="J168" t="s">
        <v>24</v>
      </c>
      <c r="K168" t="s">
        <v>103</v>
      </c>
      <c r="L168" t="s">
        <v>36</v>
      </c>
      <c r="M168" t="s">
        <v>27</v>
      </c>
      <c r="N168" t="s">
        <v>887</v>
      </c>
      <c r="O168" t="s">
        <v>67</v>
      </c>
      <c r="P168" t="s">
        <v>117</v>
      </c>
      <c r="Q168" t="s">
        <v>888</v>
      </c>
      <c r="R168">
        <v>18.04</v>
      </c>
      <c r="S168">
        <v>6</v>
      </c>
      <c r="T168">
        <v>0</v>
      </c>
      <c r="U168">
        <v>-1.34</v>
      </c>
    </row>
    <row r="169" spans="1:21" x14ac:dyDescent="0.35">
      <c r="A169" t="s">
        <v>889</v>
      </c>
      <c r="B169" s="2">
        <v>43361</v>
      </c>
      <c r="C169" s="2" t="str">
        <f t="shared" si="4"/>
        <v>September</v>
      </c>
      <c r="D169" s="2" t="str">
        <f t="shared" si="5"/>
        <v>2018</v>
      </c>
      <c r="E169" s="2" t="s">
        <v>6024</v>
      </c>
      <c r="F169" t="s">
        <v>20</v>
      </c>
      <c r="G169" t="s">
        <v>890</v>
      </c>
      <c r="H169" t="s">
        <v>891</v>
      </c>
      <c r="I169" t="s">
        <v>35</v>
      </c>
      <c r="J169" t="s">
        <v>24</v>
      </c>
      <c r="K169" t="s">
        <v>25</v>
      </c>
      <c r="L169" t="s">
        <v>26</v>
      </c>
      <c r="M169" t="s">
        <v>74</v>
      </c>
      <c r="N169" t="s">
        <v>892</v>
      </c>
      <c r="O169" t="s">
        <v>67</v>
      </c>
      <c r="P169" t="s">
        <v>92</v>
      </c>
      <c r="Q169" t="s">
        <v>893</v>
      </c>
      <c r="R169">
        <v>1688.39</v>
      </c>
      <c r="S169">
        <v>1</v>
      </c>
      <c r="T169">
        <v>0.4</v>
      </c>
      <c r="U169">
        <v>317.98</v>
      </c>
    </row>
    <row r="170" spans="1:21" x14ac:dyDescent="0.35">
      <c r="A170" t="s">
        <v>894</v>
      </c>
      <c r="B170" s="2">
        <v>42676</v>
      </c>
      <c r="C170" s="2" t="str">
        <f t="shared" si="4"/>
        <v>November</v>
      </c>
      <c r="D170" s="2" t="str">
        <f t="shared" si="5"/>
        <v>2016</v>
      </c>
      <c r="E170" s="2">
        <v>42654</v>
      </c>
      <c r="F170" t="s">
        <v>42</v>
      </c>
      <c r="G170" t="s">
        <v>895</v>
      </c>
      <c r="H170" t="s">
        <v>896</v>
      </c>
      <c r="I170" t="s">
        <v>23</v>
      </c>
      <c r="J170" t="s">
        <v>24</v>
      </c>
      <c r="K170" t="s">
        <v>45</v>
      </c>
      <c r="L170" t="s">
        <v>90</v>
      </c>
      <c r="M170" t="s">
        <v>27</v>
      </c>
      <c r="N170" t="s">
        <v>897</v>
      </c>
      <c r="O170" t="s">
        <v>29</v>
      </c>
      <c r="P170" t="s">
        <v>110</v>
      </c>
      <c r="Q170" t="s">
        <v>898</v>
      </c>
      <c r="R170">
        <v>1232.99</v>
      </c>
      <c r="S170">
        <v>9</v>
      </c>
      <c r="T170">
        <v>0.4</v>
      </c>
      <c r="U170">
        <v>615.23</v>
      </c>
    </row>
    <row r="171" spans="1:21" x14ac:dyDescent="0.35">
      <c r="A171" t="s">
        <v>899</v>
      </c>
      <c r="B171" s="2">
        <v>42969</v>
      </c>
      <c r="C171" s="2" t="str">
        <f t="shared" si="4"/>
        <v>August</v>
      </c>
      <c r="D171" s="2" t="str">
        <f t="shared" si="5"/>
        <v>2017</v>
      </c>
      <c r="E171" s="2" t="s">
        <v>6234</v>
      </c>
      <c r="F171" t="s">
        <v>52</v>
      </c>
      <c r="G171" t="s">
        <v>900</v>
      </c>
      <c r="H171" t="s">
        <v>190</v>
      </c>
      <c r="I171" t="s">
        <v>35</v>
      </c>
      <c r="J171" t="s">
        <v>24</v>
      </c>
      <c r="K171" t="s">
        <v>73</v>
      </c>
      <c r="L171" t="s">
        <v>26</v>
      </c>
      <c r="M171" t="s">
        <v>74</v>
      </c>
      <c r="N171" t="s">
        <v>901</v>
      </c>
      <c r="O171" t="s">
        <v>48</v>
      </c>
      <c r="P171" t="s">
        <v>76</v>
      </c>
      <c r="Q171" t="s">
        <v>902</v>
      </c>
      <c r="R171">
        <v>1712.44</v>
      </c>
      <c r="S171">
        <v>6</v>
      </c>
      <c r="T171">
        <v>0.2</v>
      </c>
      <c r="U171">
        <v>-270.37</v>
      </c>
    </row>
    <row r="172" spans="1:21" x14ac:dyDescent="0.35">
      <c r="A172" t="s">
        <v>903</v>
      </c>
      <c r="B172" s="2">
        <v>43051</v>
      </c>
      <c r="C172" s="2" t="str">
        <f t="shared" si="4"/>
        <v>November</v>
      </c>
      <c r="D172" s="2" t="str">
        <f t="shared" si="5"/>
        <v>2017</v>
      </c>
      <c r="E172" s="2" t="s">
        <v>6235</v>
      </c>
      <c r="F172" t="s">
        <v>42</v>
      </c>
      <c r="G172" t="s">
        <v>904</v>
      </c>
      <c r="H172" t="s">
        <v>905</v>
      </c>
      <c r="I172" t="s">
        <v>55</v>
      </c>
      <c r="J172" t="s">
        <v>24</v>
      </c>
      <c r="K172" t="s">
        <v>89</v>
      </c>
      <c r="L172" t="s">
        <v>170</v>
      </c>
      <c r="M172" t="s">
        <v>57</v>
      </c>
      <c r="N172" t="s">
        <v>906</v>
      </c>
      <c r="O172" t="s">
        <v>29</v>
      </c>
      <c r="P172" t="s">
        <v>110</v>
      </c>
      <c r="Q172" t="s">
        <v>907</v>
      </c>
      <c r="R172">
        <v>572.63</v>
      </c>
      <c r="S172">
        <v>1</v>
      </c>
      <c r="T172">
        <v>0</v>
      </c>
      <c r="U172">
        <v>-98.59</v>
      </c>
    </row>
    <row r="173" spans="1:21" x14ac:dyDescent="0.35">
      <c r="A173" t="s">
        <v>908</v>
      </c>
      <c r="B173" s="2">
        <v>43446</v>
      </c>
      <c r="C173" s="2" t="str">
        <f t="shared" si="4"/>
        <v>December</v>
      </c>
      <c r="D173" s="2" t="str">
        <f t="shared" si="5"/>
        <v>2018</v>
      </c>
      <c r="E173" s="2" t="s">
        <v>6140</v>
      </c>
      <c r="F173" t="s">
        <v>62</v>
      </c>
      <c r="G173" t="s">
        <v>909</v>
      </c>
      <c r="H173" t="s">
        <v>910</v>
      </c>
      <c r="I173" t="s">
        <v>55</v>
      </c>
      <c r="J173" t="s">
        <v>24</v>
      </c>
      <c r="K173" t="s">
        <v>25</v>
      </c>
      <c r="L173" t="s">
        <v>46</v>
      </c>
      <c r="M173" t="s">
        <v>74</v>
      </c>
      <c r="N173" t="s">
        <v>911</v>
      </c>
      <c r="O173" t="s">
        <v>67</v>
      </c>
      <c r="P173" t="s">
        <v>68</v>
      </c>
      <c r="Q173" t="s">
        <v>912</v>
      </c>
      <c r="R173">
        <v>176.58</v>
      </c>
      <c r="S173">
        <v>2</v>
      </c>
      <c r="T173">
        <v>0.3</v>
      </c>
      <c r="U173">
        <v>33.99</v>
      </c>
    </row>
    <row r="174" spans="1:21" x14ac:dyDescent="0.35">
      <c r="A174" t="s">
        <v>913</v>
      </c>
      <c r="B174" s="2">
        <v>43447</v>
      </c>
      <c r="C174" s="2" t="str">
        <f t="shared" si="4"/>
        <v>December</v>
      </c>
      <c r="D174" s="2" t="str">
        <f t="shared" si="5"/>
        <v>2018</v>
      </c>
      <c r="E174" s="2" t="s">
        <v>5932</v>
      </c>
      <c r="F174" t="s">
        <v>62</v>
      </c>
      <c r="G174" t="s">
        <v>914</v>
      </c>
      <c r="H174" t="s">
        <v>915</v>
      </c>
      <c r="I174" t="s">
        <v>55</v>
      </c>
      <c r="J174" t="s">
        <v>24</v>
      </c>
      <c r="K174" t="s">
        <v>36</v>
      </c>
      <c r="L174" t="s">
        <v>115</v>
      </c>
      <c r="M174" t="s">
        <v>83</v>
      </c>
      <c r="N174" t="s">
        <v>916</v>
      </c>
      <c r="O174" t="s">
        <v>29</v>
      </c>
      <c r="P174" t="s">
        <v>30</v>
      </c>
      <c r="Q174" t="s">
        <v>917</v>
      </c>
      <c r="R174">
        <v>687.4</v>
      </c>
      <c r="S174">
        <v>1</v>
      </c>
      <c r="T174">
        <v>0.2</v>
      </c>
      <c r="U174">
        <v>-185.89</v>
      </c>
    </row>
    <row r="175" spans="1:21" x14ac:dyDescent="0.35">
      <c r="A175" t="s">
        <v>918</v>
      </c>
      <c r="B175" s="2">
        <v>43676</v>
      </c>
      <c r="C175" s="2" t="str">
        <f t="shared" si="4"/>
        <v>July</v>
      </c>
      <c r="D175" s="2" t="str">
        <f t="shared" si="5"/>
        <v>2019</v>
      </c>
      <c r="E175" s="2">
        <v>43473</v>
      </c>
      <c r="F175" t="s">
        <v>42</v>
      </c>
      <c r="G175" t="s">
        <v>919</v>
      </c>
      <c r="H175" t="s">
        <v>64</v>
      </c>
      <c r="I175" t="s">
        <v>23</v>
      </c>
      <c r="J175" t="s">
        <v>24</v>
      </c>
      <c r="K175" t="s">
        <v>81</v>
      </c>
      <c r="L175" t="s">
        <v>170</v>
      </c>
      <c r="M175" t="s">
        <v>27</v>
      </c>
      <c r="N175" t="s">
        <v>920</v>
      </c>
      <c r="O175" t="s">
        <v>67</v>
      </c>
      <c r="P175" t="s">
        <v>350</v>
      </c>
      <c r="Q175" t="s">
        <v>921</v>
      </c>
      <c r="R175">
        <v>126.53</v>
      </c>
      <c r="S175">
        <v>7</v>
      </c>
      <c r="T175">
        <v>0.1</v>
      </c>
      <c r="U175">
        <v>11.92</v>
      </c>
    </row>
    <row r="176" spans="1:21" x14ac:dyDescent="0.35">
      <c r="A176" t="s">
        <v>922</v>
      </c>
      <c r="B176" s="2">
        <v>43222</v>
      </c>
      <c r="C176" s="2" t="str">
        <f t="shared" si="4"/>
        <v>May</v>
      </c>
      <c r="D176" s="2" t="str">
        <f t="shared" si="5"/>
        <v>2018</v>
      </c>
      <c r="E176" s="2">
        <v>43409</v>
      </c>
      <c r="F176" t="s">
        <v>20</v>
      </c>
      <c r="G176" t="s">
        <v>923</v>
      </c>
      <c r="H176" t="s">
        <v>924</v>
      </c>
      <c r="I176" t="s">
        <v>55</v>
      </c>
      <c r="J176" t="s">
        <v>24</v>
      </c>
      <c r="K176" t="s">
        <v>103</v>
      </c>
      <c r="L176" t="s">
        <v>82</v>
      </c>
      <c r="M176" t="s">
        <v>74</v>
      </c>
      <c r="N176" t="s">
        <v>925</v>
      </c>
      <c r="O176" t="s">
        <v>29</v>
      </c>
      <c r="P176" t="s">
        <v>39</v>
      </c>
      <c r="Q176" t="s">
        <v>926</v>
      </c>
      <c r="R176">
        <v>625.64</v>
      </c>
      <c r="S176">
        <v>8</v>
      </c>
      <c r="T176">
        <v>0.2</v>
      </c>
      <c r="U176">
        <v>-84.6</v>
      </c>
    </row>
    <row r="177" spans="1:21" x14ac:dyDescent="0.35">
      <c r="A177" t="s">
        <v>927</v>
      </c>
      <c r="B177" s="2">
        <v>42623</v>
      </c>
      <c r="C177" s="2" t="str">
        <f t="shared" si="4"/>
        <v>September</v>
      </c>
      <c r="D177" s="2" t="str">
        <f t="shared" si="5"/>
        <v>2016</v>
      </c>
      <c r="E177" s="2" t="s">
        <v>6236</v>
      </c>
      <c r="F177" t="s">
        <v>52</v>
      </c>
      <c r="G177" t="s">
        <v>928</v>
      </c>
      <c r="H177" t="s">
        <v>929</v>
      </c>
      <c r="I177" t="s">
        <v>35</v>
      </c>
      <c r="J177" t="s">
        <v>24</v>
      </c>
      <c r="K177" t="s">
        <v>81</v>
      </c>
      <c r="L177" t="s">
        <v>65</v>
      </c>
      <c r="M177" t="s">
        <v>74</v>
      </c>
      <c r="N177" t="s">
        <v>930</v>
      </c>
      <c r="O177" t="s">
        <v>67</v>
      </c>
      <c r="P177" t="s">
        <v>350</v>
      </c>
      <c r="Q177" t="s">
        <v>931</v>
      </c>
      <c r="R177">
        <v>1418.98</v>
      </c>
      <c r="S177">
        <v>5</v>
      </c>
      <c r="T177">
        <v>0.4</v>
      </c>
      <c r="U177">
        <v>-251.81</v>
      </c>
    </row>
    <row r="178" spans="1:21" x14ac:dyDescent="0.35">
      <c r="A178" t="s">
        <v>932</v>
      </c>
      <c r="B178" s="2">
        <v>43736</v>
      </c>
      <c r="C178" s="2" t="str">
        <f t="shared" si="4"/>
        <v>September</v>
      </c>
      <c r="D178" s="2" t="str">
        <f t="shared" si="5"/>
        <v>2019</v>
      </c>
      <c r="E178" s="2">
        <v>43656</v>
      </c>
      <c r="F178" t="s">
        <v>52</v>
      </c>
      <c r="G178" t="s">
        <v>933</v>
      </c>
      <c r="H178" t="s">
        <v>934</v>
      </c>
      <c r="I178" t="s">
        <v>23</v>
      </c>
      <c r="J178" t="s">
        <v>24</v>
      </c>
      <c r="K178" t="s">
        <v>133</v>
      </c>
      <c r="L178" t="s">
        <v>36</v>
      </c>
      <c r="M178" t="s">
        <v>57</v>
      </c>
      <c r="N178" t="s">
        <v>935</v>
      </c>
      <c r="O178" t="s">
        <v>67</v>
      </c>
      <c r="P178" t="s">
        <v>117</v>
      </c>
      <c r="Q178" t="s">
        <v>936</v>
      </c>
      <c r="R178">
        <v>1829.34</v>
      </c>
      <c r="S178">
        <v>4</v>
      </c>
      <c r="T178">
        <v>0.2</v>
      </c>
      <c r="U178">
        <v>-241.11</v>
      </c>
    </row>
    <row r="179" spans="1:21" x14ac:dyDescent="0.35">
      <c r="A179" t="s">
        <v>937</v>
      </c>
      <c r="B179" s="2">
        <v>42933</v>
      </c>
      <c r="C179" s="2" t="str">
        <f t="shared" si="4"/>
        <v>July</v>
      </c>
      <c r="D179" s="2" t="str">
        <f t="shared" si="5"/>
        <v>2017</v>
      </c>
      <c r="E179" s="2" t="s">
        <v>6237</v>
      </c>
      <c r="F179" t="s">
        <v>20</v>
      </c>
      <c r="G179" t="s">
        <v>938</v>
      </c>
      <c r="H179" t="s">
        <v>939</v>
      </c>
      <c r="I179" t="s">
        <v>55</v>
      </c>
      <c r="J179" t="s">
        <v>24</v>
      </c>
      <c r="K179" t="s">
        <v>36</v>
      </c>
      <c r="L179" t="s">
        <v>82</v>
      </c>
      <c r="M179" t="s">
        <v>83</v>
      </c>
      <c r="N179" t="s">
        <v>940</v>
      </c>
      <c r="O179" t="s">
        <v>67</v>
      </c>
      <c r="P179" t="s">
        <v>117</v>
      </c>
      <c r="Q179" t="s">
        <v>941</v>
      </c>
      <c r="R179">
        <v>540.72</v>
      </c>
      <c r="S179">
        <v>6</v>
      </c>
      <c r="T179">
        <v>0.2</v>
      </c>
      <c r="U179">
        <v>17.34</v>
      </c>
    </row>
    <row r="180" spans="1:21" x14ac:dyDescent="0.35">
      <c r="A180" t="s">
        <v>942</v>
      </c>
      <c r="B180" s="2">
        <v>43808</v>
      </c>
      <c r="C180" s="2" t="str">
        <f t="shared" si="4"/>
        <v>December</v>
      </c>
      <c r="D180" s="2" t="str">
        <f t="shared" si="5"/>
        <v>2019</v>
      </c>
      <c r="E180" s="2" t="s">
        <v>6161</v>
      </c>
      <c r="F180" t="s">
        <v>52</v>
      </c>
      <c r="G180" t="s">
        <v>943</v>
      </c>
      <c r="H180" t="s">
        <v>944</v>
      </c>
      <c r="I180" t="s">
        <v>23</v>
      </c>
      <c r="J180" t="s">
        <v>24</v>
      </c>
      <c r="K180" t="s">
        <v>212</v>
      </c>
      <c r="L180" t="s">
        <v>56</v>
      </c>
      <c r="M180" t="s">
        <v>83</v>
      </c>
      <c r="N180" t="s">
        <v>945</v>
      </c>
      <c r="O180" t="s">
        <v>67</v>
      </c>
      <c r="P180" t="s">
        <v>117</v>
      </c>
      <c r="Q180" t="s">
        <v>946</v>
      </c>
      <c r="R180">
        <v>950.49</v>
      </c>
      <c r="S180">
        <v>10</v>
      </c>
      <c r="T180">
        <v>0.2</v>
      </c>
      <c r="U180">
        <v>53.61</v>
      </c>
    </row>
    <row r="181" spans="1:21" x14ac:dyDescent="0.35">
      <c r="A181" t="s">
        <v>947</v>
      </c>
      <c r="B181" s="2">
        <v>43618</v>
      </c>
      <c r="C181" s="2" t="str">
        <f t="shared" si="4"/>
        <v>June</v>
      </c>
      <c r="D181" s="2" t="str">
        <f t="shared" si="5"/>
        <v>2019</v>
      </c>
      <c r="E181" s="2">
        <v>43591</v>
      </c>
      <c r="F181" t="s">
        <v>52</v>
      </c>
      <c r="G181" t="s">
        <v>948</v>
      </c>
      <c r="H181" t="s">
        <v>949</v>
      </c>
      <c r="I181" t="s">
        <v>55</v>
      </c>
      <c r="J181" t="s">
        <v>24</v>
      </c>
      <c r="K181" t="s">
        <v>103</v>
      </c>
      <c r="L181" t="s">
        <v>170</v>
      </c>
      <c r="M181" t="s">
        <v>74</v>
      </c>
      <c r="N181" t="s">
        <v>950</v>
      </c>
      <c r="O181" t="s">
        <v>48</v>
      </c>
      <c r="P181" t="s">
        <v>76</v>
      </c>
      <c r="Q181" t="s">
        <v>951</v>
      </c>
      <c r="R181">
        <v>1474.19</v>
      </c>
      <c r="S181">
        <v>7</v>
      </c>
      <c r="T181">
        <v>0</v>
      </c>
      <c r="U181">
        <v>608.01</v>
      </c>
    </row>
    <row r="182" spans="1:21" x14ac:dyDescent="0.35">
      <c r="A182" t="s">
        <v>952</v>
      </c>
      <c r="B182" s="2">
        <v>43764</v>
      </c>
      <c r="C182" s="2" t="str">
        <f t="shared" si="4"/>
        <v>October</v>
      </c>
      <c r="D182" s="2" t="str">
        <f t="shared" si="5"/>
        <v>2019</v>
      </c>
      <c r="E182" s="2" t="s">
        <v>6238</v>
      </c>
      <c r="F182" t="s">
        <v>20</v>
      </c>
      <c r="G182" t="s">
        <v>953</v>
      </c>
      <c r="H182" t="s">
        <v>954</v>
      </c>
      <c r="I182" t="s">
        <v>23</v>
      </c>
      <c r="J182" t="s">
        <v>24</v>
      </c>
      <c r="K182" t="s">
        <v>45</v>
      </c>
      <c r="L182" t="s">
        <v>170</v>
      </c>
      <c r="M182" t="s">
        <v>27</v>
      </c>
      <c r="N182" t="s">
        <v>955</v>
      </c>
      <c r="O182" t="s">
        <v>29</v>
      </c>
      <c r="P182" t="s">
        <v>155</v>
      </c>
      <c r="Q182" t="s">
        <v>956</v>
      </c>
      <c r="R182">
        <v>1629.82</v>
      </c>
      <c r="S182">
        <v>5</v>
      </c>
      <c r="T182">
        <v>0.1</v>
      </c>
      <c r="U182">
        <v>122.05</v>
      </c>
    </row>
    <row r="183" spans="1:21" x14ac:dyDescent="0.35">
      <c r="A183" t="s">
        <v>957</v>
      </c>
      <c r="B183" s="2">
        <v>43590</v>
      </c>
      <c r="C183" s="2" t="str">
        <f t="shared" si="4"/>
        <v>May</v>
      </c>
      <c r="D183" s="2" t="str">
        <f t="shared" si="5"/>
        <v>2019</v>
      </c>
      <c r="E183" s="2">
        <v>43713</v>
      </c>
      <c r="F183" t="s">
        <v>52</v>
      </c>
      <c r="G183" t="s">
        <v>958</v>
      </c>
      <c r="H183" t="s">
        <v>959</v>
      </c>
      <c r="I183" t="s">
        <v>35</v>
      </c>
      <c r="J183" t="s">
        <v>24</v>
      </c>
      <c r="K183" t="s">
        <v>45</v>
      </c>
      <c r="L183" t="s">
        <v>170</v>
      </c>
      <c r="M183" t="s">
        <v>74</v>
      </c>
      <c r="N183" t="s">
        <v>960</v>
      </c>
      <c r="O183" t="s">
        <v>67</v>
      </c>
      <c r="P183" t="s">
        <v>350</v>
      </c>
      <c r="Q183" t="s">
        <v>961</v>
      </c>
      <c r="R183">
        <v>1360.08</v>
      </c>
      <c r="S183">
        <v>7</v>
      </c>
      <c r="T183">
        <v>0.1</v>
      </c>
      <c r="U183">
        <v>530.54999999999995</v>
      </c>
    </row>
    <row r="184" spans="1:21" x14ac:dyDescent="0.35">
      <c r="A184" t="s">
        <v>962</v>
      </c>
      <c r="B184" s="2">
        <v>42377</v>
      </c>
      <c r="C184" s="2" t="str">
        <f t="shared" si="4"/>
        <v>January</v>
      </c>
      <c r="D184" s="2" t="str">
        <f t="shared" si="5"/>
        <v>2016</v>
      </c>
      <c r="E184" s="2" t="s">
        <v>6239</v>
      </c>
      <c r="F184" t="s">
        <v>20</v>
      </c>
      <c r="G184" t="s">
        <v>963</v>
      </c>
      <c r="H184" t="s">
        <v>964</v>
      </c>
      <c r="I184" t="s">
        <v>23</v>
      </c>
      <c r="J184" t="s">
        <v>24</v>
      </c>
      <c r="K184" t="s">
        <v>73</v>
      </c>
      <c r="L184" t="s">
        <v>90</v>
      </c>
      <c r="M184" t="s">
        <v>74</v>
      </c>
      <c r="N184" t="s">
        <v>965</v>
      </c>
      <c r="O184" t="s">
        <v>48</v>
      </c>
      <c r="P184" t="s">
        <v>59</v>
      </c>
      <c r="Q184" t="s">
        <v>966</v>
      </c>
      <c r="R184">
        <v>1075.46</v>
      </c>
      <c r="S184">
        <v>3</v>
      </c>
      <c r="T184">
        <v>0.2</v>
      </c>
      <c r="U184">
        <v>504.59</v>
      </c>
    </row>
    <row r="185" spans="1:21" x14ac:dyDescent="0.35">
      <c r="A185" t="s">
        <v>967</v>
      </c>
      <c r="B185" s="2">
        <v>43161</v>
      </c>
      <c r="C185" s="2" t="str">
        <f t="shared" si="4"/>
        <v>March</v>
      </c>
      <c r="D185" s="2" t="str">
        <f t="shared" si="5"/>
        <v>2018</v>
      </c>
      <c r="E185" s="2">
        <v>43437</v>
      </c>
      <c r="F185" t="s">
        <v>52</v>
      </c>
      <c r="G185" t="s">
        <v>968</v>
      </c>
      <c r="H185" t="s">
        <v>969</v>
      </c>
      <c r="I185" t="s">
        <v>35</v>
      </c>
      <c r="J185" t="s">
        <v>24</v>
      </c>
      <c r="K185" t="s">
        <v>73</v>
      </c>
      <c r="L185" t="s">
        <v>115</v>
      </c>
      <c r="M185" t="s">
        <v>83</v>
      </c>
      <c r="N185" t="s">
        <v>970</v>
      </c>
      <c r="O185" t="s">
        <v>48</v>
      </c>
      <c r="P185" t="s">
        <v>128</v>
      </c>
      <c r="Q185" t="s">
        <v>971</v>
      </c>
      <c r="R185">
        <v>245.04</v>
      </c>
      <c r="S185">
        <v>4</v>
      </c>
      <c r="T185">
        <v>0</v>
      </c>
      <c r="U185">
        <v>-54.09</v>
      </c>
    </row>
    <row r="186" spans="1:21" x14ac:dyDescent="0.35">
      <c r="A186" t="s">
        <v>972</v>
      </c>
      <c r="B186" s="2">
        <v>43311</v>
      </c>
      <c r="C186" s="2" t="str">
        <f t="shared" si="4"/>
        <v>July</v>
      </c>
      <c r="D186" s="2" t="str">
        <f t="shared" si="5"/>
        <v>2018</v>
      </c>
      <c r="E186" s="2">
        <v>43167</v>
      </c>
      <c r="F186" t="s">
        <v>52</v>
      </c>
      <c r="G186" t="s">
        <v>973</v>
      </c>
      <c r="H186" t="s">
        <v>974</v>
      </c>
      <c r="I186" t="s">
        <v>23</v>
      </c>
      <c r="J186" t="s">
        <v>24</v>
      </c>
      <c r="K186" t="s">
        <v>73</v>
      </c>
      <c r="L186" t="s">
        <v>82</v>
      </c>
      <c r="M186" t="s">
        <v>57</v>
      </c>
      <c r="N186" t="s">
        <v>975</v>
      </c>
      <c r="O186" t="s">
        <v>48</v>
      </c>
      <c r="P186" t="s">
        <v>59</v>
      </c>
      <c r="Q186" t="s">
        <v>976</v>
      </c>
      <c r="R186">
        <v>1905.93</v>
      </c>
      <c r="S186">
        <v>8</v>
      </c>
      <c r="T186">
        <v>0.2</v>
      </c>
      <c r="U186">
        <v>178.36</v>
      </c>
    </row>
    <row r="187" spans="1:21" x14ac:dyDescent="0.35">
      <c r="A187" t="s">
        <v>977</v>
      </c>
      <c r="B187" s="2">
        <v>42428</v>
      </c>
      <c r="C187" s="2" t="str">
        <f t="shared" si="4"/>
        <v>February</v>
      </c>
      <c r="D187" s="2" t="str">
        <f t="shared" si="5"/>
        <v>2016</v>
      </c>
      <c r="E187" s="2">
        <v>42372</v>
      </c>
      <c r="F187" t="s">
        <v>52</v>
      </c>
      <c r="G187" t="s">
        <v>978</v>
      </c>
      <c r="H187" t="s">
        <v>979</v>
      </c>
      <c r="I187" t="s">
        <v>55</v>
      </c>
      <c r="J187" t="s">
        <v>24</v>
      </c>
      <c r="K187" t="s">
        <v>103</v>
      </c>
      <c r="L187" t="s">
        <v>90</v>
      </c>
      <c r="M187" t="s">
        <v>83</v>
      </c>
      <c r="N187" t="s">
        <v>980</v>
      </c>
      <c r="O187" t="s">
        <v>48</v>
      </c>
      <c r="P187" t="s">
        <v>76</v>
      </c>
      <c r="Q187" t="s">
        <v>981</v>
      </c>
      <c r="R187">
        <v>436.18</v>
      </c>
      <c r="S187">
        <v>2</v>
      </c>
      <c r="T187">
        <v>0.3</v>
      </c>
      <c r="U187">
        <v>111.32</v>
      </c>
    </row>
    <row r="188" spans="1:21" x14ac:dyDescent="0.35">
      <c r="A188" t="s">
        <v>982</v>
      </c>
      <c r="B188" s="2">
        <v>42576</v>
      </c>
      <c r="C188" s="2" t="str">
        <f t="shared" si="4"/>
        <v>July</v>
      </c>
      <c r="D188" s="2" t="str">
        <f t="shared" si="5"/>
        <v>2016</v>
      </c>
      <c r="E188" s="2" t="s">
        <v>6240</v>
      </c>
      <c r="F188" t="s">
        <v>52</v>
      </c>
      <c r="G188" t="s">
        <v>983</v>
      </c>
      <c r="H188" t="s">
        <v>984</v>
      </c>
      <c r="I188" t="s">
        <v>35</v>
      </c>
      <c r="J188" t="s">
        <v>24</v>
      </c>
      <c r="K188" t="s">
        <v>25</v>
      </c>
      <c r="L188" t="s">
        <v>37</v>
      </c>
      <c r="M188" t="s">
        <v>27</v>
      </c>
      <c r="N188" t="s">
        <v>985</v>
      </c>
      <c r="O188" t="s">
        <v>48</v>
      </c>
      <c r="P188" t="s">
        <v>128</v>
      </c>
      <c r="Q188" t="s">
        <v>684</v>
      </c>
      <c r="R188">
        <v>1250.3900000000001</v>
      </c>
      <c r="S188">
        <v>2</v>
      </c>
      <c r="T188">
        <v>0.2</v>
      </c>
      <c r="U188">
        <v>112.59</v>
      </c>
    </row>
    <row r="189" spans="1:21" x14ac:dyDescent="0.35">
      <c r="A189" t="s">
        <v>986</v>
      </c>
      <c r="B189" s="2">
        <v>43494</v>
      </c>
      <c r="C189" s="2" t="str">
        <f t="shared" si="4"/>
        <v>January</v>
      </c>
      <c r="D189" s="2" t="str">
        <f t="shared" si="5"/>
        <v>2019</v>
      </c>
      <c r="E189" s="2">
        <v>43648</v>
      </c>
      <c r="F189" t="s">
        <v>52</v>
      </c>
      <c r="G189" t="s">
        <v>987</v>
      </c>
      <c r="H189" t="s">
        <v>988</v>
      </c>
      <c r="I189" t="s">
        <v>23</v>
      </c>
      <c r="J189" t="s">
        <v>24</v>
      </c>
      <c r="K189" t="s">
        <v>36</v>
      </c>
      <c r="L189" t="s">
        <v>82</v>
      </c>
      <c r="M189" t="s">
        <v>74</v>
      </c>
      <c r="N189" t="s">
        <v>989</v>
      </c>
      <c r="O189" t="s">
        <v>48</v>
      </c>
      <c r="P189" t="s">
        <v>76</v>
      </c>
      <c r="Q189" t="s">
        <v>990</v>
      </c>
      <c r="R189">
        <v>1753.58</v>
      </c>
      <c r="S189">
        <v>10</v>
      </c>
      <c r="T189">
        <v>0.2</v>
      </c>
      <c r="U189">
        <v>619.26</v>
      </c>
    </row>
    <row r="190" spans="1:21" x14ac:dyDescent="0.35">
      <c r="A190" t="s">
        <v>991</v>
      </c>
      <c r="B190" s="2">
        <v>42846</v>
      </c>
      <c r="C190" s="2" t="str">
        <f t="shared" si="4"/>
        <v>April</v>
      </c>
      <c r="D190" s="2" t="str">
        <f t="shared" si="5"/>
        <v>2017</v>
      </c>
      <c r="E190" s="2" t="s">
        <v>5912</v>
      </c>
      <c r="F190" t="s">
        <v>20</v>
      </c>
      <c r="G190" t="s">
        <v>992</v>
      </c>
      <c r="H190" t="s">
        <v>993</v>
      </c>
      <c r="I190" t="s">
        <v>35</v>
      </c>
      <c r="J190" t="s">
        <v>24</v>
      </c>
      <c r="K190" t="s">
        <v>103</v>
      </c>
      <c r="L190" t="s">
        <v>26</v>
      </c>
      <c r="M190" t="s">
        <v>74</v>
      </c>
      <c r="N190" t="s">
        <v>994</v>
      </c>
      <c r="O190" t="s">
        <v>48</v>
      </c>
      <c r="P190" t="s">
        <v>76</v>
      </c>
      <c r="Q190" t="s">
        <v>995</v>
      </c>
      <c r="R190">
        <v>957.13</v>
      </c>
      <c r="S190">
        <v>1</v>
      </c>
      <c r="T190">
        <v>0</v>
      </c>
      <c r="U190">
        <v>-226.27</v>
      </c>
    </row>
    <row r="191" spans="1:21" x14ac:dyDescent="0.35">
      <c r="A191" t="s">
        <v>996</v>
      </c>
      <c r="B191" s="2">
        <v>43630</v>
      </c>
      <c r="C191" s="2" t="str">
        <f t="shared" si="4"/>
        <v>June</v>
      </c>
      <c r="D191" s="2" t="str">
        <f t="shared" si="5"/>
        <v>2019</v>
      </c>
      <c r="E191" s="2" t="s">
        <v>6172</v>
      </c>
      <c r="F191" t="s">
        <v>52</v>
      </c>
      <c r="G191" t="s">
        <v>997</v>
      </c>
      <c r="H191" t="s">
        <v>998</v>
      </c>
      <c r="I191" t="s">
        <v>35</v>
      </c>
      <c r="J191" t="s">
        <v>24</v>
      </c>
      <c r="K191" t="s">
        <v>73</v>
      </c>
      <c r="L191" t="s">
        <v>46</v>
      </c>
      <c r="M191" t="s">
        <v>27</v>
      </c>
      <c r="N191" t="s">
        <v>999</v>
      </c>
      <c r="O191" t="s">
        <v>29</v>
      </c>
      <c r="P191" t="s">
        <v>39</v>
      </c>
      <c r="Q191" t="s">
        <v>1000</v>
      </c>
      <c r="R191">
        <v>1669.17</v>
      </c>
      <c r="S191">
        <v>1</v>
      </c>
      <c r="T191">
        <v>0</v>
      </c>
      <c r="U191">
        <v>551.9</v>
      </c>
    </row>
    <row r="192" spans="1:21" x14ac:dyDescent="0.35">
      <c r="A192" t="s">
        <v>1001</v>
      </c>
      <c r="B192" s="2">
        <v>42674</v>
      </c>
      <c r="C192" s="2" t="str">
        <f t="shared" si="4"/>
        <v>October</v>
      </c>
      <c r="D192" s="2" t="str">
        <f t="shared" si="5"/>
        <v>2016</v>
      </c>
      <c r="E192" s="2">
        <v>42624</v>
      </c>
      <c r="F192" t="s">
        <v>52</v>
      </c>
      <c r="G192" t="s">
        <v>1002</v>
      </c>
      <c r="H192" t="s">
        <v>1003</v>
      </c>
      <c r="I192" t="s">
        <v>55</v>
      </c>
      <c r="J192" t="s">
        <v>24</v>
      </c>
      <c r="K192" t="s">
        <v>89</v>
      </c>
      <c r="L192" t="s">
        <v>26</v>
      </c>
      <c r="M192" t="s">
        <v>27</v>
      </c>
      <c r="N192" t="s">
        <v>1004</v>
      </c>
      <c r="O192" t="s">
        <v>67</v>
      </c>
      <c r="P192" t="s">
        <v>350</v>
      </c>
      <c r="Q192" t="s">
        <v>1005</v>
      </c>
      <c r="R192">
        <v>1450.39</v>
      </c>
      <c r="S192">
        <v>1</v>
      </c>
      <c r="T192">
        <v>0.3</v>
      </c>
      <c r="U192">
        <v>419.31</v>
      </c>
    </row>
    <row r="193" spans="1:21" x14ac:dyDescent="0.35">
      <c r="A193" t="s">
        <v>1006</v>
      </c>
      <c r="B193" s="2">
        <v>43214</v>
      </c>
      <c r="C193" s="2" t="str">
        <f t="shared" si="4"/>
        <v>April</v>
      </c>
      <c r="D193" s="2" t="str">
        <f t="shared" si="5"/>
        <v>2018</v>
      </c>
      <c r="E193" s="2" t="s">
        <v>6042</v>
      </c>
      <c r="F193" t="s">
        <v>62</v>
      </c>
      <c r="G193" t="s">
        <v>1007</v>
      </c>
      <c r="H193" t="s">
        <v>1008</v>
      </c>
      <c r="I193" t="s">
        <v>35</v>
      </c>
      <c r="J193" t="s">
        <v>24</v>
      </c>
      <c r="K193" t="s">
        <v>25</v>
      </c>
      <c r="L193" t="s">
        <v>56</v>
      </c>
      <c r="M193" t="s">
        <v>57</v>
      </c>
      <c r="N193" t="s">
        <v>1009</v>
      </c>
      <c r="O193" t="s">
        <v>67</v>
      </c>
      <c r="P193" t="s">
        <v>117</v>
      </c>
      <c r="Q193" t="s">
        <v>1010</v>
      </c>
      <c r="R193">
        <v>1448.15</v>
      </c>
      <c r="S193">
        <v>10</v>
      </c>
      <c r="T193">
        <v>0</v>
      </c>
      <c r="U193">
        <v>-188.67</v>
      </c>
    </row>
    <row r="194" spans="1:21" x14ac:dyDescent="0.35">
      <c r="A194" t="s">
        <v>1011</v>
      </c>
      <c r="B194" s="2">
        <v>42514</v>
      </c>
      <c r="C194" s="2" t="str">
        <f t="shared" si="4"/>
        <v>May</v>
      </c>
      <c r="D194" s="2" t="str">
        <f t="shared" si="5"/>
        <v>2016</v>
      </c>
      <c r="E194" s="2" t="s">
        <v>6209</v>
      </c>
      <c r="F194" t="s">
        <v>20</v>
      </c>
      <c r="G194" t="s">
        <v>1012</v>
      </c>
      <c r="H194" t="s">
        <v>1013</v>
      </c>
      <c r="I194" t="s">
        <v>55</v>
      </c>
      <c r="J194" t="s">
        <v>24</v>
      </c>
      <c r="K194" t="s">
        <v>89</v>
      </c>
      <c r="L194" t="s">
        <v>36</v>
      </c>
      <c r="M194" t="s">
        <v>74</v>
      </c>
      <c r="N194" t="s">
        <v>1014</v>
      </c>
      <c r="O194" t="s">
        <v>48</v>
      </c>
      <c r="P194" t="s">
        <v>76</v>
      </c>
      <c r="Q194" t="s">
        <v>1015</v>
      </c>
      <c r="R194">
        <v>1642.86</v>
      </c>
      <c r="S194">
        <v>6</v>
      </c>
      <c r="T194">
        <v>0.2</v>
      </c>
      <c r="U194">
        <v>-107.38</v>
      </c>
    </row>
    <row r="195" spans="1:21" x14ac:dyDescent="0.35">
      <c r="A195" t="s">
        <v>1016</v>
      </c>
      <c r="B195" s="2">
        <v>43246</v>
      </c>
      <c r="C195" s="2" t="str">
        <f t="shared" ref="C195:C258" si="6">TEXT(B195,"mmmm")</f>
        <v>May</v>
      </c>
      <c r="D195" s="2" t="str">
        <f t="shared" ref="D195:D258" si="7">TEXT(B195,"yyyy")</f>
        <v>2018</v>
      </c>
      <c r="E195" s="2" t="s">
        <v>5999</v>
      </c>
      <c r="F195" t="s">
        <v>52</v>
      </c>
      <c r="G195" t="s">
        <v>1017</v>
      </c>
      <c r="H195" t="s">
        <v>1018</v>
      </c>
      <c r="I195" t="s">
        <v>55</v>
      </c>
      <c r="J195" t="s">
        <v>24</v>
      </c>
      <c r="K195" t="s">
        <v>103</v>
      </c>
      <c r="L195" t="s">
        <v>170</v>
      </c>
      <c r="M195" t="s">
        <v>83</v>
      </c>
      <c r="N195" t="s">
        <v>1019</v>
      </c>
      <c r="O195" t="s">
        <v>67</v>
      </c>
      <c r="P195" t="s">
        <v>68</v>
      </c>
      <c r="Q195" t="s">
        <v>1020</v>
      </c>
      <c r="R195">
        <v>1569.39</v>
      </c>
      <c r="S195">
        <v>8</v>
      </c>
      <c r="T195">
        <v>0.4</v>
      </c>
      <c r="U195">
        <v>-181.39</v>
      </c>
    </row>
    <row r="196" spans="1:21" x14ac:dyDescent="0.35">
      <c r="A196" t="s">
        <v>1021</v>
      </c>
      <c r="B196" s="2">
        <v>43496</v>
      </c>
      <c r="C196" s="2" t="str">
        <f t="shared" si="6"/>
        <v>January</v>
      </c>
      <c r="D196" s="2" t="str">
        <f t="shared" si="7"/>
        <v>2019</v>
      </c>
      <c r="E196" s="2">
        <v>43498</v>
      </c>
      <c r="F196" t="s">
        <v>52</v>
      </c>
      <c r="G196" t="s">
        <v>1022</v>
      </c>
      <c r="H196" t="s">
        <v>1023</v>
      </c>
      <c r="I196" t="s">
        <v>23</v>
      </c>
      <c r="J196" t="s">
        <v>24</v>
      </c>
      <c r="K196" t="s">
        <v>97</v>
      </c>
      <c r="L196" t="s">
        <v>26</v>
      </c>
      <c r="M196" t="s">
        <v>57</v>
      </c>
      <c r="N196" t="s">
        <v>1024</v>
      </c>
      <c r="O196" t="s">
        <v>48</v>
      </c>
      <c r="P196" t="s">
        <v>128</v>
      </c>
      <c r="Q196" t="s">
        <v>1025</v>
      </c>
      <c r="R196">
        <v>1566.59</v>
      </c>
      <c r="S196">
        <v>3</v>
      </c>
      <c r="T196">
        <v>0</v>
      </c>
      <c r="U196">
        <v>223.27</v>
      </c>
    </row>
    <row r="197" spans="1:21" x14ac:dyDescent="0.35">
      <c r="A197" t="s">
        <v>1026</v>
      </c>
      <c r="B197" s="2">
        <v>43761</v>
      </c>
      <c r="C197" s="2" t="str">
        <f t="shared" si="6"/>
        <v>October</v>
      </c>
      <c r="D197" s="2" t="str">
        <f t="shared" si="7"/>
        <v>2019</v>
      </c>
      <c r="E197" s="2" t="s">
        <v>6025</v>
      </c>
      <c r="F197" t="s">
        <v>42</v>
      </c>
      <c r="G197" t="s">
        <v>1027</v>
      </c>
      <c r="H197" t="s">
        <v>1028</v>
      </c>
      <c r="I197" t="s">
        <v>23</v>
      </c>
      <c r="J197" t="s">
        <v>24</v>
      </c>
      <c r="K197" t="s">
        <v>103</v>
      </c>
      <c r="L197" t="s">
        <v>90</v>
      </c>
      <c r="M197" t="s">
        <v>27</v>
      </c>
      <c r="N197" t="s">
        <v>1029</v>
      </c>
      <c r="O197" t="s">
        <v>29</v>
      </c>
      <c r="P197" t="s">
        <v>110</v>
      </c>
      <c r="Q197" t="s">
        <v>1030</v>
      </c>
      <c r="R197">
        <v>1335.55</v>
      </c>
      <c r="S197">
        <v>7</v>
      </c>
      <c r="T197">
        <v>0</v>
      </c>
      <c r="U197">
        <v>-338.94</v>
      </c>
    </row>
    <row r="198" spans="1:21" x14ac:dyDescent="0.35">
      <c r="A198" t="s">
        <v>1031</v>
      </c>
      <c r="B198" s="2">
        <v>42524</v>
      </c>
      <c r="C198" s="2" t="str">
        <f t="shared" si="6"/>
        <v>June</v>
      </c>
      <c r="D198" s="2" t="str">
        <f t="shared" si="7"/>
        <v>2016</v>
      </c>
      <c r="E198" s="2" t="s">
        <v>6145</v>
      </c>
      <c r="F198" t="s">
        <v>20</v>
      </c>
      <c r="G198" t="s">
        <v>1032</v>
      </c>
      <c r="H198" t="s">
        <v>1033</v>
      </c>
      <c r="I198" t="s">
        <v>55</v>
      </c>
      <c r="J198" t="s">
        <v>24</v>
      </c>
      <c r="K198" t="s">
        <v>73</v>
      </c>
      <c r="L198" t="s">
        <v>37</v>
      </c>
      <c r="M198" t="s">
        <v>57</v>
      </c>
      <c r="N198" t="s">
        <v>1034</v>
      </c>
      <c r="O198" t="s">
        <v>67</v>
      </c>
      <c r="P198" t="s">
        <v>117</v>
      </c>
      <c r="Q198" t="s">
        <v>1035</v>
      </c>
      <c r="R198">
        <v>280.77999999999997</v>
      </c>
      <c r="S198">
        <v>3</v>
      </c>
      <c r="T198">
        <v>0.4</v>
      </c>
      <c r="U198">
        <v>91.58</v>
      </c>
    </row>
    <row r="199" spans="1:21" x14ac:dyDescent="0.35">
      <c r="A199" t="s">
        <v>1036</v>
      </c>
      <c r="B199" s="2">
        <v>42624</v>
      </c>
      <c r="C199" s="2" t="str">
        <f t="shared" si="6"/>
        <v>September</v>
      </c>
      <c r="D199" s="2" t="str">
        <f t="shared" si="7"/>
        <v>2016</v>
      </c>
      <c r="E199" s="2" t="s">
        <v>6116</v>
      </c>
      <c r="F199" t="s">
        <v>20</v>
      </c>
      <c r="G199" t="s">
        <v>1037</v>
      </c>
      <c r="H199" t="s">
        <v>1038</v>
      </c>
      <c r="I199" t="s">
        <v>23</v>
      </c>
      <c r="J199" t="s">
        <v>24</v>
      </c>
      <c r="K199" t="s">
        <v>45</v>
      </c>
      <c r="L199" t="s">
        <v>170</v>
      </c>
      <c r="M199" t="s">
        <v>74</v>
      </c>
      <c r="N199" t="s">
        <v>1039</v>
      </c>
      <c r="O199" t="s">
        <v>67</v>
      </c>
      <c r="P199" t="s">
        <v>117</v>
      </c>
      <c r="Q199" t="s">
        <v>1040</v>
      </c>
      <c r="R199">
        <v>811.39</v>
      </c>
      <c r="S199">
        <v>10</v>
      </c>
      <c r="T199">
        <v>0.2</v>
      </c>
      <c r="U199">
        <v>-185.49</v>
      </c>
    </row>
    <row r="200" spans="1:21" x14ac:dyDescent="0.35">
      <c r="A200" t="s">
        <v>1041</v>
      </c>
      <c r="B200" s="2">
        <v>42446</v>
      </c>
      <c r="C200" s="2" t="str">
        <f t="shared" si="6"/>
        <v>March</v>
      </c>
      <c r="D200" s="2" t="str">
        <f t="shared" si="7"/>
        <v>2016</v>
      </c>
      <c r="E200" s="2" t="s">
        <v>5911</v>
      </c>
      <c r="F200" t="s">
        <v>52</v>
      </c>
      <c r="G200" t="s">
        <v>1042</v>
      </c>
      <c r="H200" t="s">
        <v>1043</v>
      </c>
      <c r="I200" t="s">
        <v>23</v>
      </c>
      <c r="J200" t="s">
        <v>24</v>
      </c>
      <c r="K200" t="s">
        <v>81</v>
      </c>
      <c r="L200" t="s">
        <v>65</v>
      </c>
      <c r="M200" t="s">
        <v>74</v>
      </c>
      <c r="N200" t="s">
        <v>1044</v>
      </c>
      <c r="O200" t="s">
        <v>67</v>
      </c>
      <c r="P200" t="s">
        <v>350</v>
      </c>
      <c r="Q200" t="s">
        <v>1045</v>
      </c>
      <c r="R200">
        <v>173.48</v>
      </c>
      <c r="S200">
        <v>8</v>
      </c>
      <c r="T200">
        <v>0.1</v>
      </c>
      <c r="U200">
        <v>-47.83</v>
      </c>
    </row>
    <row r="201" spans="1:21" x14ac:dyDescent="0.35">
      <c r="A201" t="s">
        <v>1046</v>
      </c>
      <c r="B201" s="2">
        <v>42584</v>
      </c>
      <c r="C201" s="2" t="str">
        <f t="shared" si="6"/>
        <v>August</v>
      </c>
      <c r="D201" s="2" t="str">
        <f t="shared" si="7"/>
        <v>2016</v>
      </c>
      <c r="E201" s="2">
        <v>42712</v>
      </c>
      <c r="F201" t="s">
        <v>62</v>
      </c>
      <c r="G201" t="s">
        <v>1047</v>
      </c>
      <c r="H201" t="s">
        <v>1048</v>
      </c>
      <c r="I201" t="s">
        <v>55</v>
      </c>
      <c r="J201" t="s">
        <v>24</v>
      </c>
      <c r="K201" t="s">
        <v>45</v>
      </c>
      <c r="L201" t="s">
        <v>46</v>
      </c>
      <c r="M201" t="s">
        <v>57</v>
      </c>
      <c r="N201" t="s">
        <v>1049</v>
      </c>
      <c r="O201" t="s">
        <v>29</v>
      </c>
      <c r="P201" t="s">
        <v>39</v>
      </c>
      <c r="Q201" t="s">
        <v>1050</v>
      </c>
      <c r="R201">
        <v>1978.24</v>
      </c>
      <c r="S201">
        <v>7</v>
      </c>
      <c r="T201">
        <v>0.4</v>
      </c>
      <c r="U201">
        <v>394</v>
      </c>
    </row>
    <row r="202" spans="1:21" x14ac:dyDescent="0.35">
      <c r="A202" t="s">
        <v>1051</v>
      </c>
      <c r="B202" s="2">
        <v>42455</v>
      </c>
      <c r="C202" s="2" t="str">
        <f t="shared" si="6"/>
        <v>March</v>
      </c>
      <c r="D202" s="2" t="str">
        <f t="shared" si="7"/>
        <v>2016</v>
      </c>
      <c r="E202" s="2">
        <v>42433</v>
      </c>
      <c r="F202" t="s">
        <v>20</v>
      </c>
      <c r="G202" t="s">
        <v>1052</v>
      </c>
      <c r="H202" t="s">
        <v>1053</v>
      </c>
      <c r="I202" t="s">
        <v>35</v>
      </c>
      <c r="J202" t="s">
        <v>24</v>
      </c>
      <c r="K202" t="s">
        <v>45</v>
      </c>
      <c r="L202" t="s">
        <v>46</v>
      </c>
      <c r="M202" t="s">
        <v>27</v>
      </c>
      <c r="N202" t="s">
        <v>1054</v>
      </c>
      <c r="O202" t="s">
        <v>67</v>
      </c>
      <c r="P202" t="s">
        <v>68</v>
      </c>
      <c r="Q202" t="s">
        <v>1055</v>
      </c>
      <c r="R202">
        <v>1596.92</v>
      </c>
      <c r="S202">
        <v>6</v>
      </c>
      <c r="T202">
        <v>0.2</v>
      </c>
      <c r="U202">
        <v>432.64</v>
      </c>
    </row>
    <row r="203" spans="1:21" x14ac:dyDescent="0.35">
      <c r="A203" t="s">
        <v>1056</v>
      </c>
      <c r="B203" s="2">
        <v>43287</v>
      </c>
      <c r="C203" s="2" t="str">
        <f t="shared" si="6"/>
        <v>July</v>
      </c>
      <c r="D203" s="2" t="str">
        <f t="shared" si="7"/>
        <v>2018</v>
      </c>
      <c r="E203" s="2" t="s">
        <v>6241</v>
      </c>
      <c r="F203" t="s">
        <v>52</v>
      </c>
      <c r="G203" t="s">
        <v>1057</v>
      </c>
      <c r="H203" t="s">
        <v>1058</v>
      </c>
      <c r="I203" t="s">
        <v>23</v>
      </c>
      <c r="J203" t="s">
        <v>24</v>
      </c>
      <c r="K203" t="s">
        <v>45</v>
      </c>
      <c r="L203" t="s">
        <v>36</v>
      </c>
      <c r="M203" t="s">
        <v>57</v>
      </c>
      <c r="N203" t="s">
        <v>1059</v>
      </c>
      <c r="O203" t="s">
        <v>29</v>
      </c>
      <c r="P203" t="s">
        <v>30</v>
      </c>
      <c r="Q203" t="s">
        <v>1060</v>
      </c>
      <c r="R203">
        <v>1051.8900000000001</v>
      </c>
      <c r="S203">
        <v>1</v>
      </c>
      <c r="T203">
        <v>0.2</v>
      </c>
      <c r="U203">
        <v>165.08</v>
      </c>
    </row>
    <row r="204" spans="1:21" x14ac:dyDescent="0.35">
      <c r="A204" t="s">
        <v>1061</v>
      </c>
      <c r="B204" s="2">
        <v>43009</v>
      </c>
      <c r="C204" s="2" t="str">
        <f t="shared" si="6"/>
        <v>October</v>
      </c>
      <c r="D204" s="2" t="str">
        <f t="shared" si="7"/>
        <v>2017</v>
      </c>
      <c r="E204" s="2">
        <v>42835</v>
      </c>
      <c r="F204" t="s">
        <v>20</v>
      </c>
      <c r="G204" t="s">
        <v>1062</v>
      </c>
      <c r="H204" t="s">
        <v>1063</v>
      </c>
      <c r="I204" t="s">
        <v>55</v>
      </c>
      <c r="J204" t="s">
        <v>24</v>
      </c>
      <c r="K204" t="s">
        <v>45</v>
      </c>
      <c r="L204" t="s">
        <v>90</v>
      </c>
      <c r="M204" t="s">
        <v>83</v>
      </c>
      <c r="N204" t="s">
        <v>1064</v>
      </c>
      <c r="O204" t="s">
        <v>29</v>
      </c>
      <c r="P204" t="s">
        <v>30</v>
      </c>
      <c r="Q204" t="s">
        <v>1065</v>
      </c>
      <c r="R204">
        <v>881.61</v>
      </c>
      <c r="S204">
        <v>6</v>
      </c>
      <c r="T204">
        <v>0</v>
      </c>
      <c r="U204">
        <v>245.53</v>
      </c>
    </row>
    <row r="205" spans="1:21" x14ac:dyDescent="0.35">
      <c r="A205" t="s">
        <v>1066</v>
      </c>
      <c r="B205" s="2">
        <v>42754</v>
      </c>
      <c r="C205" s="2" t="str">
        <f t="shared" si="6"/>
        <v>January</v>
      </c>
      <c r="D205" s="2" t="str">
        <f t="shared" si="7"/>
        <v>2017</v>
      </c>
      <c r="E205" s="2" t="s">
        <v>6171</v>
      </c>
      <c r="F205" t="s">
        <v>62</v>
      </c>
      <c r="G205" t="s">
        <v>1067</v>
      </c>
      <c r="H205" t="s">
        <v>1068</v>
      </c>
      <c r="I205" t="s">
        <v>55</v>
      </c>
      <c r="J205" t="s">
        <v>24</v>
      </c>
      <c r="K205" t="s">
        <v>36</v>
      </c>
      <c r="L205" t="s">
        <v>65</v>
      </c>
      <c r="M205" t="s">
        <v>74</v>
      </c>
      <c r="N205" t="s">
        <v>1069</v>
      </c>
      <c r="O205" t="s">
        <v>67</v>
      </c>
      <c r="P205" t="s">
        <v>92</v>
      </c>
      <c r="Q205" t="s">
        <v>1070</v>
      </c>
      <c r="R205">
        <v>291.77999999999997</v>
      </c>
      <c r="S205">
        <v>3</v>
      </c>
      <c r="T205">
        <v>0.4</v>
      </c>
      <c r="U205">
        <v>-59.24</v>
      </c>
    </row>
    <row r="206" spans="1:21" x14ac:dyDescent="0.35">
      <c r="A206" t="s">
        <v>1071</v>
      </c>
      <c r="B206" s="2">
        <v>43341</v>
      </c>
      <c r="C206" s="2" t="str">
        <f t="shared" si="6"/>
        <v>August</v>
      </c>
      <c r="D206" s="2" t="str">
        <f t="shared" si="7"/>
        <v>2018</v>
      </c>
      <c r="E206" s="2">
        <v>43199</v>
      </c>
      <c r="F206" t="s">
        <v>62</v>
      </c>
      <c r="G206" t="s">
        <v>1072</v>
      </c>
      <c r="H206" t="s">
        <v>1073</v>
      </c>
      <c r="I206" t="s">
        <v>35</v>
      </c>
      <c r="J206" t="s">
        <v>24</v>
      </c>
      <c r="K206" t="s">
        <v>97</v>
      </c>
      <c r="L206" t="s">
        <v>90</v>
      </c>
      <c r="M206" t="s">
        <v>27</v>
      </c>
      <c r="N206" t="s">
        <v>1074</v>
      </c>
      <c r="O206" t="s">
        <v>48</v>
      </c>
      <c r="P206" t="s">
        <v>59</v>
      </c>
      <c r="Q206" t="s">
        <v>1075</v>
      </c>
      <c r="R206">
        <v>518.04</v>
      </c>
      <c r="S206">
        <v>6</v>
      </c>
      <c r="T206">
        <v>0.2</v>
      </c>
      <c r="U206">
        <v>-100.46</v>
      </c>
    </row>
    <row r="207" spans="1:21" x14ac:dyDescent="0.35">
      <c r="A207" t="s">
        <v>1076</v>
      </c>
      <c r="B207" s="2">
        <v>43168</v>
      </c>
      <c r="C207" s="2" t="str">
        <f t="shared" si="6"/>
        <v>March</v>
      </c>
      <c r="D207" s="2" t="str">
        <f t="shared" si="7"/>
        <v>2018</v>
      </c>
      <c r="E207" s="2">
        <v>43407</v>
      </c>
      <c r="F207" t="s">
        <v>52</v>
      </c>
      <c r="G207" t="s">
        <v>1077</v>
      </c>
      <c r="H207" t="s">
        <v>1078</v>
      </c>
      <c r="I207" t="s">
        <v>35</v>
      </c>
      <c r="J207" t="s">
        <v>24</v>
      </c>
      <c r="K207" t="s">
        <v>81</v>
      </c>
      <c r="L207" t="s">
        <v>26</v>
      </c>
      <c r="M207" t="s">
        <v>57</v>
      </c>
      <c r="N207" t="s">
        <v>1079</v>
      </c>
      <c r="O207" t="s">
        <v>29</v>
      </c>
      <c r="P207" t="s">
        <v>155</v>
      </c>
      <c r="Q207" t="s">
        <v>1080</v>
      </c>
      <c r="R207">
        <v>1299.8900000000001</v>
      </c>
      <c r="S207">
        <v>8</v>
      </c>
      <c r="T207">
        <v>0.2</v>
      </c>
      <c r="U207">
        <v>153.81</v>
      </c>
    </row>
    <row r="208" spans="1:21" x14ac:dyDescent="0.35">
      <c r="A208" t="s">
        <v>1081</v>
      </c>
      <c r="B208" s="2">
        <v>42407</v>
      </c>
      <c r="C208" s="2" t="str">
        <f t="shared" si="6"/>
        <v>February</v>
      </c>
      <c r="D208" s="2" t="str">
        <f t="shared" si="7"/>
        <v>2016</v>
      </c>
      <c r="E208" s="2" t="s">
        <v>6242</v>
      </c>
      <c r="F208" t="s">
        <v>20</v>
      </c>
      <c r="G208" t="s">
        <v>1082</v>
      </c>
      <c r="H208" t="s">
        <v>1083</v>
      </c>
      <c r="I208" t="s">
        <v>23</v>
      </c>
      <c r="J208" t="s">
        <v>24</v>
      </c>
      <c r="K208" t="s">
        <v>89</v>
      </c>
      <c r="L208" t="s">
        <v>36</v>
      </c>
      <c r="M208" t="s">
        <v>74</v>
      </c>
      <c r="N208" t="s">
        <v>1084</v>
      </c>
      <c r="O208" t="s">
        <v>29</v>
      </c>
      <c r="P208" t="s">
        <v>155</v>
      </c>
      <c r="Q208" t="s">
        <v>1085</v>
      </c>
      <c r="R208">
        <v>1097.9100000000001</v>
      </c>
      <c r="S208">
        <v>1</v>
      </c>
      <c r="T208">
        <v>0.2</v>
      </c>
      <c r="U208">
        <v>-311.3</v>
      </c>
    </row>
    <row r="209" spans="1:21" x14ac:dyDescent="0.35">
      <c r="A209" t="s">
        <v>1086</v>
      </c>
      <c r="B209" s="2">
        <v>42871</v>
      </c>
      <c r="C209" s="2" t="str">
        <f t="shared" si="6"/>
        <v>May</v>
      </c>
      <c r="D209" s="2" t="str">
        <f t="shared" si="7"/>
        <v>2017</v>
      </c>
      <c r="E209" s="2" t="s">
        <v>6220</v>
      </c>
      <c r="F209" t="s">
        <v>62</v>
      </c>
      <c r="G209" t="s">
        <v>1087</v>
      </c>
      <c r="H209" t="s">
        <v>1088</v>
      </c>
      <c r="I209" t="s">
        <v>55</v>
      </c>
      <c r="J209" t="s">
        <v>24</v>
      </c>
      <c r="K209" t="s">
        <v>36</v>
      </c>
      <c r="L209" t="s">
        <v>90</v>
      </c>
      <c r="M209" t="s">
        <v>27</v>
      </c>
      <c r="N209" t="s">
        <v>1089</v>
      </c>
      <c r="O209" t="s">
        <v>67</v>
      </c>
      <c r="P209" t="s">
        <v>197</v>
      </c>
      <c r="Q209" t="s">
        <v>1090</v>
      </c>
      <c r="R209">
        <v>472.84</v>
      </c>
      <c r="S209">
        <v>10</v>
      </c>
      <c r="T209">
        <v>0</v>
      </c>
      <c r="U209">
        <v>117.93</v>
      </c>
    </row>
    <row r="210" spans="1:21" x14ac:dyDescent="0.35">
      <c r="A210" t="s">
        <v>1091</v>
      </c>
      <c r="B210" s="2">
        <v>43714</v>
      </c>
      <c r="C210" s="2" t="str">
        <f t="shared" si="6"/>
        <v>September</v>
      </c>
      <c r="D210" s="2" t="str">
        <f t="shared" si="7"/>
        <v>2019</v>
      </c>
      <c r="E210" s="2" t="s">
        <v>6243</v>
      </c>
      <c r="F210" t="s">
        <v>52</v>
      </c>
      <c r="G210" t="s">
        <v>1092</v>
      </c>
      <c r="H210" t="s">
        <v>1093</v>
      </c>
      <c r="I210" t="s">
        <v>35</v>
      </c>
      <c r="J210" t="s">
        <v>24</v>
      </c>
      <c r="K210" t="s">
        <v>97</v>
      </c>
      <c r="L210" t="s">
        <v>115</v>
      </c>
      <c r="M210" t="s">
        <v>57</v>
      </c>
      <c r="N210" t="s">
        <v>1094</v>
      </c>
      <c r="O210" t="s">
        <v>29</v>
      </c>
      <c r="P210" t="s">
        <v>155</v>
      </c>
      <c r="Q210" t="s">
        <v>1095</v>
      </c>
      <c r="R210">
        <v>87.38</v>
      </c>
      <c r="S210">
        <v>6</v>
      </c>
      <c r="T210">
        <v>0.4</v>
      </c>
      <c r="U210">
        <v>-9.2799999999999994</v>
      </c>
    </row>
    <row r="211" spans="1:21" x14ac:dyDescent="0.35">
      <c r="A211" t="s">
        <v>1096</v>
      </c>
      <c r="B211" s="2">
        <v>43709</v>
      </c>
      <c r="C211" s="2" t="str">
        <f t="shared" si="6"/>
        <v>September</v>
      </c>
      <c r="D211" s="2" t="str">
        <f t="shared" si="7"/>
        <v>2019</v>
      </c>
      <c r="E211" s="2">
        <v>43686</v>
      </c>
      <c r="F211" t="s">
        <v>42</v>
      </c>
      <c r="G211" t="s">
        <v>1097</v>
      </c>
      <c r="H211" t="s">
        <v>1098</v>
      </c>
      <c r="I211" t="s">
        <v>23</v>
      </c>
      <c r="J211" t="s">
        <v>24</v>
      </c>
      <c r="K211" t="s">
        <v>36</v>
      </c>
      <c r="L211" t="s">
        <v>115</v>
      </c>
      <c r="M211" t="s">
        <v>83</v>
      </c>
      <c r="N211" t="s">
        <v>1099</v>
      </c>
      <c r="O211" t="s">
        <v>29</v>
      </c>
      <c r="P211" t="s">
        <v>39</v>
      </c>
      <c r="Q211" t="s">
        <v>1100</v>
      </c>
      <c r="R211">
        <v>1688.13</v>
      </c>
      <c r="S211">
        <v>2</v>
      </c>
      <c r="T211">
        <v>0.2</v>
      </c>
      <c r="U211">
        <v>-428.86</v>
      </c>
    </row>
    <row r="212" spans="1:21" x14ac:dyDescent="0.35">
      <c r="A212" t="s">
        <v>1101</v>
      </c>
      <c r="B212" s="2">
        <v>43278</v>
      </c>
      <c r="C212" s="2" t="str">
        <f t="shared" si="6"/>
        <v>June</v>
      </c>
      <c r="D212" s="2" t="str">
        <f t="shared" si="7"/>
        <v>2018</v>
      </c>
      <c r="E212" s="2">
        <v>43258</v>
      </c>
      <c r="F212" t="s">
        <v>42</v>
      </c>
      <c r="G212" t="s">
        <v>1102</v>
      </c>
      <c r="H212" t="s">
        <v>1103</v>
      </c>
      <c r="I212" t="s">
        <v>35</v>
      </c>
      <c r="J212" t="s">
        <v>24</v>
      </c>
      <c r="K212" t="s">
        <v>212</v>
      </c>
      <c r="L212" t="s">
        <v>170</v>
      </c>
      <c r="M212" t="s">
        <v>57</v>
      </c>
      <c r="N212" t="s">
        <v>1104</v>
      </c>
      <c r="O212" t="s">
        <v>29</v>
      </c>
      <c r="P212" t="s">
        <v>39</v>
      </c>
      <c r="Q212" t="s">
        <v>1105</v>
      </c>
      <c r="R212">
        <v>1671.76</v>
      </c>
      <c r="S212">
        <v>3</v>
      </c>
      <c r="T212">
        <v>0</v>
      </c>
      <c r="U212">
        <v>170.13</v>
      </c>
    </row>
    <row r="213" spans="1:21" x14ac:dyDescent="0.35">
      <c r="A213" t="s">
        <v>1106</v>
      </c>
      <c r="B213" s="2">
        <v>43203</v>
      </c>
      <c r="C213" s="2" t="str">
        <f t="shared" si="6"/>
        <v>April</v>
      </c>
      <c r="D213" s="2" t="str">
        <f t="shared" si="7"/>
        <v>2018</v>
      </c>
      <c r="E213" s="2" t="s">
        <v>6178</v>
      </c>
      <c r="F213" t="s">
        <v>52</v>
      </c>
      <c r="G213" t="s">
        <v>1107</v>
      </c>
      <c r="H213" t="s">
        <v>1108</v>
      </c>
      <c r="I213" t="s">
        <v>55</v>
      </c>
      <c r="J213" t="s">
        <v>24</v>
      </c>
      <c r="K213" t="s">
        <v>73</v>
      </c>
      <c r="L213" t="s">
        <v>26</v>
      </c>
      <c r="M213" t="s">
        <v>74</v>
      </c>
      <c r="N213" t="s">
        <v>1109</v>
      </c>
      <c r="O213" t="s">
        <v>67</v>
      </c>
      <c r="P213" t="s">
        <v>229</v>
      </c>
      <c r="Q213" t="s">
        <v>1110</v>
      </c>
      <c r="R213">
        <v>1088.92</v>
      </c>
      <c r="S213">
        <v>5</v>
      </c>
      <c r="T213">
        <v>0</v>
      </c>
      <c r="U213">
        <v>151.27000000000001</v>
      </c>
    </row>
    <row r="214" spans="1:21" x14ac:dyDescent="0.35">
      <c r="A214" t="s">
        <v>1111</v>
      </c>
      <c r="B214" s="2">
        <v>43692</v>
      </c>
      <c r="C214" s="2" t="str">
        <f t="shared" si="6"/>
        <v>August</v>
      </c>
      <c r="D214" s="2" t="str">
        <f t="shared" si="7"/>
        <v>2019</v>
      </c>
      <c r="E214" s="2" t="s">
        <v>5915</v>
      </c>
      <c r="F214" t="s">
        <v>52</v>
      </c>
      <c r="G214" t="s">
        <v>1112</v>
      </c>
      <c r="H214" t="s">
        <v>1113</v>
      </c>
      <c r="I214" t="s">
        <v>23</v>
      </c>
      <c r="J214" t="s">
        <v>24</v>
      </c>
      <c r="K214" t="s">
        <v>89</v>
      </c>
      <c r="L214" t="s">
        <v>46</v>
      </c>
      <c r="M214" t="s">
        <v>57</v>
      </c>
      <c r="N214" t="s">
        <v>1114</v>
      </c>
      <c r="O214" t="s">
        <v>48</v>
      </c>
      <c r="P214" t="s">
        <v>59</v>
      </c>
      <c r="Q214" t="s">
        <v>1115</v>
      </c>
      <c r="R214">
        <v>1982.4</v>
      </c>
      <c r="S214">
        <v>6</v>
      </c>
      <c r="T214">
        <v>0.4</v>
      </c>
      <c r="U214">
        <v>676.44</v>
      </c>
    </row>
    <row r="215" spans="1:21" x14ac:dyDescent="0.35">
      <c r="A215" t="s">
        <v>1116</v>
      </c>
      <c r="B215" s="2">
        <v>43246</v>
      </c>
      <c r="C215" s="2" t="str">
        <f t="shared" si="6"/>
        <v>May</v>
      </c>
      <c r="D215" s="2" t="str">
        <f t="shared" si="7"/>
        <v>2018</v>
      </c>
      <c r="E215" s="2" t="s">
        <v>6244</v>
      </c>
      <c r="F215" t="s">
        <v>42</v>
      </c>
      <c r="G215" t="s">
        <v>1117</v>
      </c>
      <c r="H215" t="s">
        <v>1118</v>
      </c>
      <c r="I215" t="s">
        <v>23</v>
      </c>
      <c r="J215" t="s">
        <v>24</v>
      </c>
      <c r="K215" t="s">
        <v>97</v>
      </c>
      <c r="L215" t="s">
        <v>56</v>
      </c>
      <c r="M215" t="s">
        <v>27</v>
      </c>
      <c r="N215" t="s">
        <v>1119</v>
      </c>
      <c r="O215" t="s">
        <v>29</v>
      </c>
      <c r="P215" t="s">
        <v>39</v>
      </c>
      <c r="Q215" t="s">
        <v>722</v>
      </c>
      <c r="R215">
        <v>803.47</v>
      </c>
      <c r="S215">
        <v>4</v>
      </c>
      <c r="T215">
        <v>0.1</v>
      </c>
      <c r="U215">
        <v>-211.65</v>
      </c>
    </row>
    <row r="216" spans="1:21" x14ac:dyDescent="0.35">
      <c r="A216" t="s">
        <v>1120</v>
      </c>
      <c r="B216" s="2">
        <v>42625</v>
      </c>
      <c r="C216" s="2" t="str">
        <f t="shared" si="6"/>
        <v>September</v>
      </c>
      <c r="D216" s="2" t="str">
        <f t="shared" si="7"/>
        <v>2016</v>
      </c>
      <c r="E216" s="2" t="s">
        <v>6245</v>
      </c>
      <c r="F216" t="s">
        <v>42</v>
      </c>
      <c r="G216" t="s">
        <v>1121</v>
      </c>
      <c r="H216" t="s">
        <v>1122</v>
      </c>
      <c r="I216" t="s">
        <v>55</v>
      </c>
      <c r="J216" t="s">
        <v>24</v>
      </c>
      <c r="K216" t="s">
        <v>103</v>
      </c>
      <c r="L216" t="s">
        <v>56</v>
      </c>
      <c r="M216" t="s">
        <v>74</v>
      </c>
      <c r="N216" t="s">
        <v>1123</v>
      </c>
      <c r="O216" t="s">
        <v>67</v>
      </c>
      <c r="P216" t="s">
        <v>68</v>
      </c>
      <c r="Q216" t="s">
        <v>1124</v>
      </c>
      <c r="R216">
        <v>1057.5</v>
      </c>
      <c r="S216">
        <v>5</v>
      </c>
      <c r="T216">
        <v>0</v>
      </c>
      <c r="U216">
        <v>-8.5</v>
      </c>
    </row>
    <row r="217" spans="1:21" x14ac:dyDescent="0.35">
      <c r="A217" t="s">
        <v>1125</v>
      </c>
      <c r="B217" s="2">
        <v>43402</v>
      </c>
      <c r="C217" s="2" t="str">
        <f t="shared" si="6"/>
        <v>October</v>
      </c>
      <c r="D217" s="2" t="str">
        <f t="shared" si="7"/>
        <v>2018</v>
      </c>
      <c r="E217" s="2">
        <v>43323</v>
      </c>
      <c r="F217" t="s">
        <v>52</v>
      </c>
      <c r="G217" t="s">
        <v>1126</v>
      </c>
      <c r="H217" t="s">
        <v>1127</v>
      </c>
      <c r="I217" t="s">
        <v>23</v>
      </c>
      <c r="J217" t="s">
        <v>24</v>
      </c>
      <c r="K217" t="s">
        <v>25</v>
      </c>
      <c r="L217" t="s">
        <v>170</v>
      </c>
      <c r="M217" t="s">
        <v>83</v>
      </c>
      <c r="N217" t="s">
        <v>1128</v>
      </c>
      <c r="O217" t="s">
        <v>67</v>
      </c>
      <c r="P217" t="s">
        <v>197</v>
      </c>
      <c r="Q217" t="s">
        <v>1129</v>
      </c>
      <c r="R217">
        <v>1683.94</v>
      </c>
      <c r="S217">
        <v>4</v>
      </c>
      <c r="T217">
        <v>0</v>
      </c>
      <c r="U217">
        <v>456.01</v>
      </c>
    </row>
    <row r="218" spans="1:21" x14ac:dyDescent="0.35">
      <c r="A218" t="s">
        <v>1130</v>
      </c>
      <c r="B218" s="2">
        <v>42725</v>
      </c>
      <c r="C218" s="2" t="str">
        <f t="shared" si="6"/>
        <v>December</v>
      </c>
      <c r="D218" s="2" t="str">
        <f t="shared" si="7"/>
        <v>2016</v>
      </c>
      <c r="E218" s="2" t="s">
        <v>6246</v>
      </c>
      <c r="F218" t="s">
        <v>62</v>
      </c>
      <c r="G218" t="s">
        <v>1131</v>
      </c>
      <c r="H218" t="s">
        <v>1132</v>
      </c>
      <c r="I218" t="s">
        <v>23</v>
      </c>
      <c r="J218" t="s">
        <v>24</v>
      </c>
      <c r="K218" t="s">
        <v>133</v>
      </c>
      <c r="L218" t="s">
        <v>115</v>
      </c>
      <c r="M218" t="s">
        <v>83</v>
      </c>
      <c r="N218" t="s">
        <v>1133</v>
      </c>
      <c r="O218" t="s">
        <v>48</v>
      </c>
      <c r="P218" t="s">
        <v>76</v>
      </c>
      <c r="Q218" t="s">
        <v>1134</v>
      </c>
      <c r="R218">
        <v>474.66</v>
      </c>
      <c r="S218">
        <v>9</v>
      </c>
      <c r="T218">
        <v>0</v>
      </c>
      <c r="U218">
        <v>229.71</v>
      </c>
    </row>
    <row r="219" spans="1:21" x14ac:dyDescent="0.35">
      <c r="A219" t="s">
        <v>1135</v>
      </c>
      <c r="B219" s="2">
        <v>42938</v>
      </c>
      <c r="C219" s="2" t="str">
        <f t="shared" si="6"/>
        <v>July</v>
      </c>
      <c r="D219" s="2" t="str">
        <f t="shared" si="7"/>
        <v>2017</v>
      </c>
      <c r="E219" s="2" t="s">
        <v>6033</v>
      </c>
      <c r="F219" t="s">
        <v>42</v>
      </c>
      <c r="G219" t="s">
        <v>1136</v>
      </c>
      <c r="H219" t="s">
        <v>1137</v>
      </c>
      <c r="I219" t="s">
        <v>55</v>
      </c>
      <c r="J219" t="s">
        <v>24</v>
      </c>
      <c r="K219" t="s">
        <v>45</v>
      </c>
      <c r="L219" t="s">
        <v>115</v>
      </c>
      <c r="M219" t="s">
        <v>74</v>
      </c>
      <c r="N219" t="s">
        <v>1138</v>
      </c>
      <c r="O219" t="s">
        <v>29</v>
      </c>
      <c r="P219" t="s">
        <v>110</v>
      </c>
      <c r="Q219" t="s">
        <v>1139</v>
      </c>
      <c r="R219">
        <v>1201.08</v>
      </c>
      <c r="S219">
        <v>2</v>
      </c>
      <c r="T219">
        <v>0</v>
      </c>
      <c r="U219">
        <v>-254.22</v>
      </c>
    </row>
    <row r="220" spans="1:21" x14ac:dyDescent="0.35">
      <c r="A220" t="s">
        <v>1140</v>
      </c>
      <c r="B220" s="2">
        <v>42762</v>
      </c>
      <c r="C220" s="2" t="str">
        <f t="shared" si="6"/>
        <v>January</v>
      </c>
      <c r="D220" s="2" t="str">
        <f t="shared" si="7"/>
        <v>2017</v>
      </c>
      <c r="E220" s="2">
        <v>42827</v>
      </c>
      <c r="F220" t="s">
        <v>20</v>
      </c>
      <c r="G220" t="s">
        <v>1141</v>
      </c>
      <c r="H220" t="s">
        <v>1142</v>
      </c>
      <c r="I220" t="s">
        <v>35</v>
      </c>
      <c r="J220" t="s">
        <v>24</v>
      </c>
      <c r="K220" t="s">
        <v>45</v>
      </c>
      <c r="L220" t="s">
        <v>26</v>
      </c>
      <c r="M220" t="s">
        <v>83</v>
      </c>
      <c r="N220" t="s">
        <v>1143</v>
      </c>
      <c r="O220" t="s">
        <v>29</v>
      </c>
      <c r="P220" t="s">
        <v>110</v>
      </c>
      <c r="Q220" t="s">
        <v>1144</v>
      </c>
      <c r="R220">
        <v>1732.24</v>
      </c>
      <c r="S220">
        <v>9</v>
      </c>
      <c r="T220">
        <v>0.4</v>
      </c>
      <c r="U220">
        <v>-435.82</v>
      </c>
    </row>
    <row r="221" spans="1:21" x14ac:dyDescent="0.35">
      <c r="A221" t="s">
        <v>1145</v>
      </c>
      <c r="B221" s="2">
        <v>43386</v>
      </c>
      <c r="C221" s="2" t="str">
        <f t="shared" si="6"/>
        <v>October</v>
      </c>
      <c r="D221" s="2" t="str">
        <f t="shared" si="7"/>
        <v>2018</v>
      </c>
      <c r="E221" s="2" t="s">
        <v>6019</v>
      </c>
      <c r="F221" t="s">
        <v>52</v>
      </c>
      <c r="G221" t="s">
        <v>1146</v>
      </c>
      <c r="H221" t="s">
        <v>1147</v>
      </c>
      <c r="I221" t="s">
        <v>55</v>
      </c>
      <c r="J221" t="s">
        <v>24</v>
      </c>
      <c r="K221" t="s">
        <v>97</v>
      </c>
      <c r="L221" t="s">
        <v>26</v>
      </c>
      <c r="M221" t="s">
        <v>74</v>
      </c>
      <c r="N221" t="s">
        <v>1148</v>
      </c>
      <c r="O221" t="s">
        <v>29</v>
      </c>
      <c r="P221" t="s">
        <v>39</v>
      </c>
      <c r="Q221" t="s">
        <v>1149</v>
      </c>
      <c r="R221">
        <v>1714.03</v>
      </c>
      <c r="S221">
        <v>2</v>
      </c>
      <c r="T221">
        <v>0.3</v>
      </c>
      <c r="U221">
        <v>717.96</v>
      </c>
    </row>
    <row r="222" spans="1:21" x14ac:dyDescent="0.35">
      <c r="A222" t="s">
        <v>1150</v>
      </c>
      <c r="B222" s="2">
        <v>43429</v>
      </c>
      <c r="C222" s="2" t="str">
        <f t="shared" si="6"/>
        <v>November</v>
      </c>
      <c r="D222" s="2" t="str">
        <f t="shared" si="7"/>
        <v>2018</v>
      </c>
      <c r="E222" s="2" t="s">
        <v>6102</v>
      </c>
      <c r="F222" t="s">
        <v>52</v>
      </c>
      <c r="G222" t="s">
        <v>1151</v>
      </c>
      <c r="H222" t="s">
        <v>1152</v>
      </c>
      <c r="I222" t="s">
        <v>23</v>
      </c>
      <c r="J222" t="s">
        <v>24</v>
      </c>
      <c r="K222" t="s">
        <v>36</v>
      </c>
      <c r="L222" t="s">
        <v>46</v>
      </c>
      <c r="M222" t="s">
        <v>83</v>
      </c>
      <c r="N222" t="s">
        <v>1153</v>
      </c>
      <c r="O222" t="s">
        <v>48</v>
      </c>
      <c r="P222" t="s">
        <v>128</v>
      </c>
      <c r="Q222" t="s">
        <v>1154</v>
      </c>
      <c r="R222">
        <v>241.78</v>
      </c>
      <c r="S222">
        <v>1</v>
      </c>
      <c r="T222">
        <v>0.3</v>
      </c>
      <c r="U222">
        <v>16.920000000000002</v>
      </c>
    </row>
    <row r="223" spans="1:21" x14ac:dyDescent="0.35">
      <c r="A223" t="s">
        <v>1155</v>
      </c>
      <c r="B223" s="2">
        <v>43106</v>
      </c>
      <c r="C223" s="2" t="str">
        <f t="shared" si="6"/>
        <v>January</v>
      </c>
      <c r="D223" s="2" t="str">
        <f t="shared" si="7"/>
        <v>2018</v>
      </c>
      <c r="E223" s="2" t="s">
        <v>6147</v>
      </c>
      <c r="F223" t="s">
        <v>52</v>
      </c>
      <c r="G223" t="s">
        <v>1156</v>
      </c>
      <c r="H223" t="s">
        <v>1157</v>
      </c>
      <c r="I223" t="s">
        <v>35</v>
      </c>
      <c r="J223" t="s">
        <v>24</v>
      </c>
      <c r="K223" t="s">
        <v>89</v>
      </c>
      <c r="L223" t="s">
        <v>36</v>
      </c>
      <c r="M223" t="s">
        <v>74</v>
      </c>
      <c r="N223" t="s">
        <v>1158</v>
      </c>
      <c r="O223" t="s">
        <v>67</v>
      </c>
      <c r="P223" t="s">
        <v>197</v>
      </c>
      <c r="Q223" t="s">
        <v>1159</v>
      </c>
      <c r="R223">
        <v>1233.53</v>
      </c>
      <c r="S223">
        <v>1</v>
      </c>
      <c r="T223">
        <v>0.4</v>
      </c>
      <c r="U223">
        <v>307.18</v>
      </c>
    </row>
    <row r="224" spans="1:21" x14ac:dyDescent="0.35">
      <c r="A224" t="s">
        <v>1160</v>
      </c>
      <c r="B224" s="2">
        <v>43595</v>
      </c>
      <c r="C224" s="2" t="str">
        <f t="shared" si="6"/>
        <v>May</v>
      </c>
      <c r="D224" s="2" t="str">
        <f t="shared" si="7"/>
        <v>2019</v>
      </c>
      <c r="E224" s="2" t="s">
        <v>5905</v>
      </c>
      <c r="F224" t="s">
        <v>20</v>
      </c>
      <c r="G224" t="s">
        <v>1161</v>
      </c>
      <c r="H224" t="s">
        <v>1162</v>
      </c>
      <c r="I224" t="s">
        <v>55</v>
      </c>
      <c r="J224" t="s">
        <v>24</v>
      </c>
      <c r="K224" t="s">
        <v>97</v>
      </c>
      <c r="L224" t="s">
        <v>46</v>
      </c>
      <c r="M224" t="s">
        <v>57</v>
      </c>
      <c r="N224" t="s">
        <v>1163</v>
      </c>
      <c r="O224" t="s">
        <v>67</v>
      </c>
      <c r="P224" t="s">
        <v>68</v>
      </c>
      <c r="Q224" t="s">
        <v>1164</v>
      </c>
      <c r="R224">
        <v>946.06</v>
      </c>
      <c r="S224">
        <v>2</v>
      </c>
      <c r="T224">
        <v>0.1</v>
      </c>
      <c r="U224">
        <v>297.06</v>
      </c>
    </row>
    <row r="225" spans="1:21" x14ac:dyDescent="0.35">
      <c r="A225" t="s">
        <v>1165</v>
      </c>
      <c r="B225" s="2">
        <v>42827</v>
      </c>
      <c r="C225" s="2" t="str">
        <f t="shared" si="6"/>
        <v>April</v>
      </c>
      <c r="D225" s="2" t="str">
        <f t="shared" si="7"/>
        <v>2017</v>
      </c>
      <c r="E225" s="2">
        <v>42859</v>
      </c>
      <c r="F225" t="s">
        <v>20</v>
      </c>
      <c r="G225" t="s">
        <v>1166</v>
      </c>
      <c r="H225" t="s">
        <v>1167</v>
      </c>
      <c r="I225" t="s">
        <v>35</v>
      </c>
      <c r="J225" t="s">
        <v>24</v>
      </c>
      <c r="K225" t="s">
        <v>45</v>
      </c>
      <c r="L225" t="s">
        <v>90</v>
      </c>
      <c r="M225" t="s">
        <v>74</v>
      </c>
      <c r="N225" t="s">
        <v>1168</v>
      </c>
      <c r="O225" t="s">
        <v>48</v>
      </c>
      <c r="P225" t="s">
        <v>128</v>
      </c>
      <c r="Q225" t="s">
        <v>1169</v>
      </c>
      <c r="R225">
        <v>901.29</v>
      </c>
      <c r="S225">
        <v>6</v>
      </c>
      <c r="T225">
        <v>0.1</v>
      </c>
      <c r="U225">
        <v>153.88</v>
      </c>
    </row>
    <row r="226" spans="1:21" x14ac:dyDescent="0.35">
      <c r="A226" t="s">
        <v>1170</v>
      </c>
      <c r="B226" s="2">
        <v>43662</v>
      </c>
      <c r="C226" s="2" t="str">
        <f t="shared" si="6"/>
        <v>July</v>
      </c>
      <c r="D226" s="2" t="str">
        <f t="shared" si="7"/>
        <v>2019</v>
      </c>
      <c r="E226" s="2" t="s">
        <v>6012</v>
      </c>
      <c r="F226" t="s">
        <v>20</v>
      </c>
      <c r="G226" t="s">
        <v>1171</v>
      </c>
      <c r="H226" t="s">
        <v>1172</v>
      </c>
      <c r="I226" t="s">
        <v>35</v>
      </c>
      <c r="J226" t="s">
        <v>24</v>
      </c>
      <c r="K226" t="s">
        <v>36</v>
      </c>
      <c r="L226" t="s">
        <v>115</v>
      </c>
      <c r="M226" t="s">
        <v>83</v>
      </c>
      <c r="N226" t="s">
        <v>1173</v>
      </c>
      <c r="O226" t="s">
        <v>29</v>
      </c>
      <c r="P226" t="s">
        <v>110</v>
      </c>
      <c r="Q226" t="s">
        <v>1174</v>
      </c>
      <c r="R226">
        <v>1834.55</v>
      </c>
      <c r="S226">
        <v>5</v>
      </c>
      <c r="T226">
        <v>0.1</v>
      </c>
      <c r="U226">
        <v>-285.45</v>
      </c>
    </row>
    <row r="227" spans="1:21" x14ac:dyDescent="0.35">
      <c r="A227" t="s">
        <v>1175</v>
      </c>
      <c r="B227" s="2">
        <v>43750</v>
      </c>
      <c r="C227" s="2" t="str">
        <f t="shared" si="6"/>
        <v>October</v>
      </c>
      <c r="D227" s="2" t="str">
        <f t="shared" si="7"/>
        <v>2019</v>
      </c>
      <c r="E227" s="2" t="s">
        <v>6247</v>
      </c>
      <c r="F227" t="s">
        <v>42</v>
      </c>
      <c r="G227" t="s">
        <v>1176</v>
      </c>
      <c r="H227" t="s">
        <v>1177</v>
      </c>
      <c r="I227" t="s">
        <v>55</v>
      </c>
      <c r="J227" t="s">
        <v>24</v>
      </c>
      <c r="K227" t="s">
        <v>73</v>
      </c>
      <c r="L227" t="s">
        <v>170</v>
      </c>
      <c r="M227" t="s">
        <v>83</v>
      </c>
      <c r="N227" t="s">
        <v>1178</v>
      </c>
      <c r="O227" t="s">
        <v>67</v>
      </c>
      <c r="P227" t="s">
        <v>92</v>
      </c>
      <c r="Q227" t="s">
        <v>1179</v>
      </c>
      <c r="R227">
        <v>1537.01</v>
      </c>
      <c r="S227">
        <v>5</v>
      </c>
      <c r="T227">
        <v>0</v>
      </c>
      <c r="U227">
        <v>-309.61</v>
      </c>
    </row>
    <row r="228" spans="1:21" x14ac:dyDescent="0.35">
      <c r="A228" t="s">
        <v>1180</v>
      </c>
      <c r="B228" s="2">
        <v>43444</v>
      </c>
      <c r="C228" s="2" t="str">
        <f t="shared" si="6"/>
        <v>December</v>
      </c>
      <c r="D228" s="2" t="str">
        <f t="shared" si="7"/>
        <v>2018</v>
      </c>
      <c r="E228" s="2" t="s">
        <v>6106</v>
      </c>
      <c r="F228" t="s">
        <v>42</v>
      </c>
      <c r="G228" t="s">
        <v>1181</v>
      </c>
      <c r="H228" t="s">
        <v>1182</v>
      </c>
      <c r="I228" t="s">
        <v>23</v>
      </c>
      <c r="J228" t="s">
        <v>24</v>
      </c>
      <c r="K228" t="s">
        <v>36</v>
      </c>
      <c r="L228" t="s">
        <v>26</v>
      </c>
      <c r="M228" t="s">
        <v>57</v>
      </c>
      <c r="N228" t="s">
        <v>1183</v>
      </c>
      <c r="O228" t="s">
        <v>48</v>
      </c>
      <c r="P228" t="s">
        <v>76</v>
      </c>
      <c r="Q228" t="s">
        <v>1184</v>
      </c>
      <c r="R228">
        <v>510.61</v>
      </c>
      <c r="S228">
        <v>8</v>
      </c>
      <c r="T228">
        <v>0</v>
      </c>
      <c r="U228">
        <v>70.14</v>
      </c>
    </row>
    <row r="229" spans="1:21" x14ac:dyDescent="0.35">
      <c r="A229" t="s">
        <v>1185</v>
      </c>
      <c r="B229" s="2">
        <v>43156</v>
      </c>
      <c r="C229" s="2" t="str">
        <f t="shared" si="6"/>
        <v>February</v>
      </c>
      <c r="D229" s="2" t="str">
        <f t="shared" si="7"/>
        <v>2018</v>
      </c>
      <c r="E229" s="2" t="s">
        <v>6219</v>
      </c>
      <c r="F229" t="s">
        <v>42</v>
      </c>
      <c r="G229" t="s">
        <v>1186</v>
      </c>
      <c r="H229" t="s">
        <v>1187</v>
      </c>
      <c r="I229" t="s">
        <v>55</v>
      </c>
      <c r="J229" t="s">
        <v>24</v>
      </c>
      <c r="K229" t="s">
        <v>45</v>
      </c>
      <c r="L229" t="s">
        <v>90</v>
      </c>
      <c r="M229" t="s">
        <v>57</v>
      </c>
      <c r="N229" t="s">
        <v>1188</v>
      </c>
      <c r="O229" t="s">
        <v>67</v>
      </c>
      <c r="P229" t="s">
        <v>68</v>
      </c>
      <c r="Q229" t="s">
        <v>1189</v>
      </c>
      <c r="R229">
        <v>1035.8399999999999</v>
      </c>
      <c r="S229">
        <v>7</v>
      </c>
      <c r="T229">
        <v>0.3</v>
      </c>
      <c r="U229">
        <v>-275.08999999999997</v>
      </c>
    </row>
    <row r="230" spans="1:21" x14ac:dyDescent="0.35">
      <c r="A230" t="s">
        <v>1190</v>
      </c>
      <c r="B230" s="2">
        <v>42723</v>
      </c>
      <c r="C230" s="2" t="str">
        <f t="shared" si="6"/>
        <v>December</v>
      </c>
      <c r="D230" s="2" t="str">
        <f t="shared" si="7"/>
        <v>2016</v>
      </c>
      <c r="E230" s="2" t="s">
        <v>5968</v>
      </c>
      <c r="F230" t="s">
        <v>42</v>
      </c>
      <c r="G230" t="s">
        <v>1191</v>
      </c>
      <c r="H230" t="s">
        <v>1192</v>
      </c>
      <c r="I230" t="s">
        <v>35</v>
      </c>
      <c r="J230" t="s">
        <v>24</v>
      </c>
      <c r="K230" t="s">
        <v>133</v>
      </c>
      <c r="L230" t="s">
        <v>46</v>
      </c>
      <c r="M230" t="s">
        <v>74</v>
      </c>
      <c r="N230" t="s">
        <v>1193</v>
      </c>
      <c r="O230" t="s">
        <v>67</v>
      </c>
      <c r="P230" t="s">
        <v>117</v>
      </c>
      <c r="Q230" t="s">
        <v>1194</v>
      </c>
      <c r="R230">
        <v>1897.53</v>
      </c>
      <c r="S230">
        <v>6</v>
      </c>
      <c r="T230">
        <v>0</v>
      </c>
      <c r="U230">
        <v>493.77</v>
      </c>
    </row>
    <row r="231" spans="1:21" x14ac:dyDescent="0.35">
      <c r="A231" t="s">
        <v>1195</v>
      </c>
      <c r="B231" s="2">
        <v>42806</v>
      </c>
      <c r="C231" s="2" t="str">
        <f t="shared" si="6"/>
        <v>March</v>
      </c>
      <c r="D231" s="2" t="str">
        <f t="shared" si="7"/>
        <v>2017</v>
      </c>
      <c r="E231" s="2" t="s">
        <v>6248</v>
      </c>
      <c r="F231" t="s">
        <v>20</v>
      </c>
      <c r="G231" t="s">
        <v>1196</v>
      </c>
      <c r="H231" t="s">
        <v>1197</v>
      </c>
      <c r="I231" t="s">
        <v>55</v>
      </c>
      <c r="J231" t="s">
        <v>24</v>
      </c>
      <c r="K231" t="s">
        <v>73</v>
      </c>
      <c r="L231" t="s">
        <v>170</v>
      </c>
      <c r="M231" t="s">
        <v>57</v>
      </c>
      <c r="N231" t="s">
        <v>1198</v>
      </c>
      <c r="O231" t="s">
        <v>29</v>
      </c>
      <c r="P231" t="s">
        <v>30</v>
      </c>
      <c r="Q231" t="s">
        <v>1199</v>
      </c>
      <c r="R231">
        <v>610.41999999999996</v>
      </c>
      <c r="S231">
        <v>2</v>
      </c>
      <c r="T231">
        <v>0.2</v>
      </c>
      <c r="U231">
        <v>72.66</v>
      </c>
    </row>
    <row r="232" spans="1:21" x14ac:dyDescent="0.35">
      <c r="A232" t="s">
        <v>1200</v>
      </c>
      <c r="B232" s="2">
        <v>42378</v>
      </c>
      <c r="C232" s="2" t="str">
        <f t="shared" si="6"/>
        <v>January</v>
      </c>
      <c r="D232" s="2" t="str">
        <f t="shared" si="7"/>
        <v>2016</v>
      </c>
      <c r="E232" s="2">
        <v>42644</v>
      </c>
      <c r="F232" t="s">
        <v>62</v>
      </c>
      <c r="G232" t="s">
        <v>1201</v>
      </c>
      <c r="H232" t="s">
        <v>1202</v>
      </c>
      <c r="I232" t="s">
        <v>55</v>
      </c>
      <c r="J232" t="s">
        <v>24</v>
      </c>
      <c r="K232" t="s">
        <v>97</v>
      </c>
      <c r="L232" t="s">
        <v>90</v>
      </c>
      <c r="M232" t="s">
        <v>74</v>
      </c>
      <c r="N232" t="s">
        <v>1203</v>
      </c>
      <c r="O232" t="s">
        <v>29</v>
      </c>
      <c r="P232" t="s">
        <v>155</v>
      </c>
      <c r="Q232" t="s">
        <v>1204</v>
      </c>
      <c r="R232">
        <v>482.93</v>
      </c>
      <c r="S232">
        <v>7</v>
      </c>
      <c r="T232">
        <v>0</v>
      </c>
      <c r="U232">
        <v>20.77</v>
      </c>
    </row>
    <row r="233" spans="1:21" x14ac:dyDescent="0.35">
      <c r="A233" t="s">
        <v>1205</v>
      </c>
      <c r="B233" s="2">
        <v>43187</v>
      </c>
      <c r="C233" s="2" t="str">
        <f t="shared" si="6"/>
        <v>March</v>
      </c>
      <c r="D233" s="2" t="str">
        <f t="shared" si="7"/>
        <v>2018</v>
      </c>
      <c r="E233" s="2">
        <v>43135</v>
      </c>
      <c r="F233" t="s">
        <v>20</v>
      </c>
      <c r="G233" t="s">
        <v>1206</v>
      </c>
      <c r="H233" t="s">
        <v>1207</v>
      </c>
      <c r="I233" t="s">
        <v>35</v>
      </c>
      <c r="J233" t="s">
        <v>24</v>
      </c>
      <c r="K233" t="s">
        <v>73</v>
      </c>
      <c r="L233" t="s">
        <v>37</v>
      </c>
      <c r="M233" t="s">
        <v>57</v>
      </c>
      <c r="N233" t="s">
        <v>1208</v>
      </c>
      <c r="O233" t="s">
        <v>67</v>
      </c>
      <c r="P233" t="s">
        <v>229</v>
      </c>
      <c r="Q233" t="s">
        <v>1209</v>
      </c>
      <c r="R233">
        <v>310.38</v>
      </c>
      <c r="S233">
        <v>1</v>
      </c>
      <c r="T233">
        <v>0.2</v>
      </c>
      <c r="U233">
        <v>-40.090000000000003</v>
      </c>
    </row>
    <row r="234" spans="1:21" x14ac:dyDescent="0.35">
      <c r="A234" t="s">
        <v>1210</v>
      </c>
      <c r="B234" s="2">
        <v>43680</v>
      </c>
      <c r="C234" s="2" t="str">
        <f t="shared" si="6"/>
        <v>August</v>
      </c>
      <c r="D234" s="2" t="str">
        <f t="shared" si="7"/>
        <v>2019</v>
      </c>
      <c r="E234" s="2" t="s">
        <v>6249</v>
      </c>
      <c r="F234" t="s">
        <v>20</v>
      </c>
      <c r="G234" t="s">
        <v>1211</v>
      </c>
      <c r="H234" t="s">
        <v>1212</v>
      </c>
      <c r="I234" t="s">
        <v>23</v>
      </c>
      <c r="J234" t="s">
        <v>24</v>
      </c>
      <c r="K234" t="s">
        <v>36</v>
      </c>
      <c r="L234" t="s">
        <v>36</v>
      </c>
      <c r="M234" t="s">
        <v>74</v>
      </c>
      <c r="N234" t="s">
        <v>1213</v>
      </c>
      <c r="O234" t="s">
        <v>48</v>
      </c>
      <c r="P234" t="s">
        <v>76</v>
      </c>
      <c r="Q234" t="s">
        <v>1214</v>
      </c>
      <c r="R234">
        <v>1125.1199999999999</v>
      </c>
      <c r="S234">
        <v>4</v>
      </c>
      <c r="T234">
        <v>0</v>
      </c>
      <c r="U234">
        <v>-286.97000000000003</v>
      </c>
    </row>
    <row r="235" spans="1:21" x14ac:dyDescent="0.35">
      <c r="A235" t="s">
        <v>1215</v>
      </c>
      <c r="B235" s="2">
        <v>43601</v>
      </c>
      <c r="C235" s="2" t="str">
        <f t="shared" si="6"/>
        <v>May</v>
      </c>
      <c r="D235" s="2" t="str">
        <f t="shared" si="7"/>
        <v>2019</v>
      </c>
      <c r="E235" s="2" t="s">
        <v>6250</v>
      </c>
      <c r="F235" t="s">
        <v>52</v>
      </c>
      <c r="G235" t="s">
        <v>1216</v>
      </c>
      <c r="H235" t="s">
        <v>1217</v>
      </c>
      <c r="I235" t="s">
        <v>35</v>
      </c>
      <c r="J235" t="s">
        <v>24</v>
      </c>
      <c r="K235" t="s">
        <v>89</v>
      </c>
      <c r="L235" t="s">
        <v>82</v>
      </c>
      <c r="M235" t="s">
        <v>27</v>
      </c>
      <c r="N235" t="s">
        <v>1218</v>
      </c>
      <c r="O235" t="s">
        <v>48</v>
      </c>
      <c r="P235" t="s">
        <v>76</v>
      </c>
      <c r="Q235" t="s">
        <v>145</v>
      </c>
      <c r="R235">
        <v>1398.05</v>
      </c>
      <c r="S235">
        <v>9</v>
      </c>
      <c r="T235">
        <v>0</v>
      </c>
      <c r="U235">
        <v>258.60000000000002</v>
      </c>
    </row>
    <row r="236" spans="1:21" x14ac:dyDescent="0.35">
      <c r="A236" t="s">
        <v>1219</v>
      </c>
      <c r="B236" s="2">
        <v>43680</v>
      </c>
      <c r="C236" s="2" t="str">
        <f t="shared" si="6"/>
        <v>August</v>
      </c>
      <c r="D236" s="2" t="str">
        <f t="shared" si="7"/>
        <v>2019</v>
      </c>
      <c r="E236" s="2">
        <v>43685</v>
      </c>
      <c r="F236" t="s">
        <v>20</v>
      </c>
      <c r="G236" t="s">
        <v>1220</v>
      </c>
      <c r="H236" t="s">
        <v>1221</v>
      </c>
      <c r="I236" t="s">
        <v>55</v>
      </c>
      <c r="J236" t="s">
        <v>24</v>
      </c>
      <c r="K236" t="s">
        <v>97</v>
      </c>
      <c r="L236" t="s">
        <v>82</v>
      </c>
      <c r="M236" t="s">
        <v>83</v>
      </c>
      <c r="N236" t="s">
        <v>1222</v>
      </c>
      <c r="O236" t="s">
        <v>48</v>
      </c>
      <c r="P236" t="s">
        <v>59</v>
      </c>
      <c r="Q236" t="s">
        <v>1223</v>
      </c>
      <c r="R236">
        <v>1135.52</v>
      </c>
      <c r="S236">
        <v>1</v>
      </c>
      <c r="T236">
        <v>0.2</v>
      </c>
      <c r="U236">
        <v>424.14</v>
      </c>
    </row>
    <row r="237" spans="1:21" x14ac:dyDescent="0.35">
      <c r="A237" t="s">
        <v>1224</v>
      </c>
      <c r="B237" s="2">
        <v>43749</v>
      </c>
      <c r="C237" s="2" t="str">
        <f t="shared" si="6"/>
        <v>October</v>
      </c>
      <c r="D237" s="2" t="str">
        <f t="shared" si="7"/>
        <v>2019</v>
      </c>
      <c r="E237" s="2" t="s">
        <v>6247</v>
      </c>
      <c r="F237" t="s">
        <v>62</v>
      </c>
      <c r="G237" t="s">
        <v>1225</v>
      </c>
      <c r="H237" t="s">
        <v>233</v>
      </c>
      <c r="I237" t="s">
        <v>23</v>
      </c>
      <c r="J237" t="s">
        <v>24</v>
      </c>
      <c r="K237" t="s">
        <v>89</v>
      </c>
      <c r="L237" t="s">
        <v>65</v>
      </c>
      <c r="M237" t="s">
        <v>83</v>
      </c>
      <c r="N237" t="s">
        <v>1226</v>
      </c>
      <c r="O237" t="s">
        <v>67</v>
      </c>
      <c r="P237" t="s">
        <v>117</v>
      </c>
      <c r="Q237" t="s">
        <v>1227</v>
      </c>
      <c r="R237">
        <v>1192.33</v>
      </c>
      <c r="S237">
        <v>10</v>
      </c>
      <c r="T237">
        <v>0</v>
      </c>
      <c r="U237">
        <v>22.82</v>
      </c>
    </row>
    <row r="238" spans="1:21" x14ac:dyDescent="0.35">
      <c r="A238" t="s">
        <v>1228</v>
      </c>
      <c r="B238" s="2">
        <v>43081</v>
      </c>
      <c r="C238" s="2" t="str">
        <f t="shared" si="6"/>
        <v>December</v>
      </c>
      <c r="D238" s="2" t="str">
        <f t="shared" si="7"/>
        <v>2017</v>
      </c>
      <c r="E238" s="2" t="s">
        <v>5928</v>
      </c>
      <c r="F238" t="s">
        <v>52</v>
      </c>
      <c r="G238" t="s">
        <v>1229</v>
      </c>
      <c r="H238" t="s">
        <v>1230</v>
      </c>
      <c r="I238" t="s">
        <v>55</v>
      </c>
      <c r="J238" t="s">
        <v>24</v>
      </c>
      <c r="K238" t="s">
        <v>36</v>
      </c>
      <c r="L238" t="s">
        <v>37</v>
      </c>
      <c r="M238" t="s">
        <v>83</v>
      </c>
      <c r="N238" t="s">
        <v>1231</v>
      </c>
      <c r="O238" t="s">
        <v>67</v>
      </c>
      <c r="P238" t="s">
        <v>68</v>
      </c>
      <c r="Q238" t="s">
        <v>1232</v>
      </c>
      <c r="R238">
        <v>1596.51</v>
      </c>
      <c r="S238">
        <v>1</v>
      </c>
      <c r="T238">
        <v>0.1</v>
      </c>
      <c r="U238">
        <v>-225.26</v>
      </c>
    </row>
    <row r="239" spans="1:21" x14ac:dyDescent="0.35">
      <c r="A239" t="s">
        <v>1233</v>
      </c>
      <c r="B239" s="2">
        <v>42506</v>
      </c>
      <c r="C239" s="2" t="str">
        <f t="shared" si="6"/>
        <v>May</v>
      </c>
      <c r="D239" s="2" t="str">
        <f t="shared" si="7"/>
        <v>2016</v>
      </c>
      <c r="E239" s="2" t="s">
        <v>5917</v>
      </c>
      <c r="F239" t="s">
        <v>52</v>
      </c>
      <c r="G239" t="s">
        <v>1234</v>
      </c>
      <c r="H239" t="s">
        <v>1235</v>
      </c>
      <c r="I239" t="s">
        <v>55</v>
      </c>
      <c r="J239" t="s">
        <v>24</v>
      </c>
      <c r="K239" t="s">
        <v>45</v>
      </c>
      <c r="L239" t="s">
        <v>37</v>
      </c>
      <c r="M239" t="s">
        <v>74</v>
      </c>
      <c r="N239" t="s">
        <v>1236</v>
      </c>
      <c r="O239" t="s">
        <v>67</v>
      </c>
      <c r="P239" t="s">
        <v>197</v>
      </c>
      <c r="Q239" t="s">
        <v>1237</v>
      </c>
      <c r="R239">
        <v>1157.0899999999999</v>
      </c>
      <c r="S239">
        <v>4</v>
      </c>
      <c r="T239">
        <v>0.3</v>
      </c>
      <c r="U239">
        <v>487.84</v>
      </c>
    </row>
    <row r="240" spans="1:21" x14ac:dyDescent="0.35">
      <c r="A240" t="s">
        <v>1238</v>
      </c>
      <c r="B240" s="2">
        <v>43683</v>
      </c>
      <c r="C240" s="2" t="str">
        <f t="shared" si="6"/>
        <v>August</v>
      </c>
      <c r="D240" s="2" t="str">
        <f t="shared" si="7"/>
        <v>2019</v>
      </c>
      <c r="E240" s="2" t="s">
        <v>6251</v>
      </c>
      <c r="F240" t="s">
        <v>20</v>
      </c>
      <c r="G240" t="s">
        <v>1239</v>
      </c>
      <c r="H240" t="s">
        <v>1240</v>
      </c>
      <c r="I240" t="s">
        <v>55</v>
      </c>
      <c r="J240" t="s">
        <v>24</v>
      </c>
      <c r="K240" t="s">
        <v>212</v>
      </c>
      <c r="L240" t="s">
        <v>46</v>
      </c>
      <c r="M240" t="s">
        <v>27</v>
      </c>
      <c r="N240" t="s">
        <v>1241</v>
      </c>
      <c r="O240" t="s">
        <v>48</v>
      </c>
      <c r="P240" t="s">
        <v>128</v>
      </c>
      <c r="Q240" t="s">
        <v>524</v>
      </c>
      <c r="R240">
        <v>54.17</v>
      </c>
      <c r="S240">
        <v>7</v>
      </c>
      <c r="T240">
        <v>0.2</v>
      </c>
      <c r="U240">
        <v>-6.13</v>
      </c>
    </row>
    <row r="241" spans="1:21" x14ac:dyDescent="0.35">
      <c r="A241" t="s">
        <v>1242</v>
      </c>
      <c r="B241" s="2">
        <v>43529</v>
      </c>
      <c r="C241" s="2" t="str">
        <f t="shared" si="6"/>
        <v>March</v>
      </c>
      <c r="D241" s="2" t="str">
        <f t="shared" si="7"/>
        <v>2019</v>
      </c>
      <c r="E241" s="2" t="s">
        <v>6217</v>
      </c>
      <c r="F241" t="s">
        <v>52</v>
      </c>
      <c r="G241" t="s">
        <v>1243</v>
      </c>
      <c r="H241" t="s">
        <v>1244</v>
      </c>
      <c r="I241" t="s">
        <v>55</v>
      </c>
      <c r="J241" t="s">
        <v>24</v>
      </c>
      <c r="K241" t="s">
        <v>36</v>
      </c>
      <c r="L241" t="s">
        <v>65</v>
      </c>
      <c r="M241" t="s">
        <v>83</v>
      </c>
      <c r="N241" t="s">
        <v>1245</v>
      </c>
      <c r="O241" t="s">
        <v>29</v>
      </c>
      <c r="P241" t="s">
        <v>30</v>
      </c>
      <c r="Q241" t="s">
        <v>1246</v>
      </c>
      <c r="R241">
        <v>1156.74</v>
      </c>
      <c r="S241">
        <v>8</v>
      </c>
      <c r="T241">
        <v>0</v>
      </c>
      <c r="U241">
        <v>316.17</v>
      </c>
    </row>
    <row r="242" spans="1:21" x14ac:dyDescent="0.35">
      <c r="A242" t="s">
        <v>1247</v>
      </c>
      <c r="B242" s="2">
        <v>43656</v>
      </c>
      <c r="C242" s="2" t="str">
        <f t="shared" si="6"/>
        <v>July</v>
      </c>
      <c r="D242" s="2" t="str">
        <f t="shared" si="7"/>
        <v>2019</v>
      </c>
      <c r="E242" s="2" t="s">
        <v>5977</v>
      </c>
      <c r="F242" t="s">
        <v>20</v>
      </c>
      <c r="G242" t="s">
        <v>1248</v>
      </c>
      <c r="H242" t="s">
        <v>1249</v>
      </c>
      <c r="I242" t="s">
        <v>55</v>
      </c>
      <c r="J242" t="s">
        <v>24</v>
      </c>
      <c r="K242" t="s">
        <v>81</v>
      </c>
      <c r="L242" t="s">
        <v>46</v>
      </c>
      <c r="M242" t="s">
        <v>74</v>
      </c>
      <c r="N242" t="s">
        <v>1250</v>
      </c>
      <c r="O242" t="s">
        <v>29</v>
      </c>
      <c r="P242" t="s">
        <v>30</v>
      </c>
      <c r="Q242" t="s">
        <v>1251</v>
      </c>
      <c r="R242">
        <v>1759.34</v>
      </c>
      <c r="S242">
        <v>7</v>
      </c>
      <c r="T242">
        <v>0.3</v>
      </c>
      <c r="U242">
        <v>40.31</v>
      </c>
    </row>
    <row r="243" spans="1:21" x14ac:dyDescent="0.35">
      <c r="A243" t="s">
        <v>1252</v>
      </c>
      <c r="B243" s="2">
        <v>42613</v>
      </c>
      <c r="C243" s="2" t="str">
        <f t="shared" si="6"/>
        <v>August</v>
      </c>
      <c r="D243" s="2" t="str">
        <f t="shared" si="7"/>
        <v>2016</v>
      </c>
      <c r="E243" s="2">
        <v>42438</v>
      </c>
      <c r="F243" t="s">
        <v>42</v>
      </c>
      <c r="G243" t="s">
        <v>1253</v>
      </c>
      <c r="H243" t="s">
        <v>1254</v>
      </c>
      <c r="I243" t="s">
        <v>35</v>
      </c>
      <c r="J243" t="s">
        <v>24</v>
      </c>
      <c r="K243" t="s">
        <v>25</v>
      </c>
      <c r="L243" t="s">
        <v>36</v>
      </c>
      <c r="M243" t="s">
        <v>57</v>
      </c>
      <c r="N243" t="s">
        <v>1255</v>
      </c>
      <c r="O243" t="s">
        <v>29</v>
      </c>
      <c r="P243" t="s">
        <v>110</v>
      </c>
      <c r="Q243" t="s">
        <v>1256</v>
      </c>
      <c r="R243">
        <v>103.19</v>
      </c>
      <c r="S243">
        <v>7</v>
      </c>
      <c r="T243">
        <v>0.1</v>
      </c>
      <c r="U243">
        <v>-2.34</v>
      </c>
    </row>
    <row r="244" spans="1:21" x14ac:dyDescent="0.35">
      <c r="A244" t="s">
        <v>1257</v>
      </c>
      <c r="B244" s="2">
        <v>42917</v>
      </c>
      <c r="C244" s="2" t="str">
        <f t="shared" si="6"/>
        <v>July</v>
      </c>
      <c r="D244" s="2" t="str">
        <f t="shared" si="7"/>
        <v>2017</v>
      </c>
      <c r="E244" s="2">
        <v>42893</v>
      </c>
      <c r="F244" t="s">
        <v>20</v>
      </c>
      <c r="G244" t="s">
        <v>1258</v>
      </c>
      <c r="H244" t="s">
        <v>1259</v>
      </c>
      <c r="I244" t="s">
        <v>55</v>
      </c>
      <c r="J244" t="s">
        <v>24</v>
      </c>
      <c r="K244" t="s">
        <v>25</v>
      </c>
      <c r="L244" t="s">
        <v>115</v>
      </c>
      <c r="M244" t="s">
        <v>27</v>
      </c>
      <c r="N244" t="s">
        <v>1260</v>
      </c>
      <c r="O244" t="s">
        <v>67</v>
      </c>
      <c r="P244" t="s">
        <v>117</v>
      </c>
      <c r="Q244" t="s">
        <v>1261</v>
      </c>
      <c r="R244">
        <v>707.07</v>
      </c>
      <c r="S244">
        <v>1</v>
      </c>
      <c r="T244">
        <v>0.4</v>
      </c>
      <c r="U244">
        <v>-203.55</v>
      </c>
    </row>
    <row r="245" spans="1:21" x14ac:dyDescent="0.35">
      <c r="A245" t="s">
        <v>1262</v>
      </c>
      <c r="B245" s="2">
        <v>43684</v>
      </c>
      <c r="C245" s="2" t="str">
        <f t="shared" si="6"/>
        <v>August</v>
      </c>
      <c r="D245" s="2" t="str">
        <f t="shared" si="7"/>
        <v>2019</v>
      </c>
      <c r="E245" s="2" t="s">
        <v>6252</v>
      </c>
      <c r="F245" t="s">
        <v>20</v>
      </c>
      <c r="G245" t="s">
        <v>1263</v>
      </c>
      <c r="H245" t="s">
        <v>1264</v>
      </c>
      <c r="I245" t="s">
        <v>35</v>
      </c>
      <c r="J245" t="s">
        <v>24</v>
      </c>
      <c r="K245" t="s">
        <v>212</v>
      </c>
      <c r="L245" t="s">
        <v>36</v>
      </c>
      <c r="M245" t="s">
        <v>74</v>
      </c>
      <c r="N245" t="s">
        <v>1265</v>
      </c>
      <c r="O245" t="s">
        <v>29</v>
      </c>
      <c r="P245" t="s">
        <v>39</v>
      </c>
      <c r="Q245" t="s">
        <v>1266</v>
      </c>
      <c r="R245">
        <v>1814.67</v>
      </c>
      <c r="S245">
        <v>1</v>
      </c>
      <c r="T245">
        <v>0</v>
      </c>
      <c r="U245">
        <v>-534.1</v>
      </c>
    </row>
    <row r="246" spans="1:21" x14ac:dyDescent="0.35">
      <c r="A246" t="s">
        <v>1267</v>
      </c>
      <c r="B246" s="2">
        <v>43563</v>
      </c>
      <c r="C246" s="2" t="str">
        <f t="shared" si="6"/>
        <v>April</v>
      </c>
      <c r="D246" s="2" t="str">
        <f t="shared" si="7"/>
        <v>2019</v>
      </c>
      <c r="E246" s="2" t="s">
        <v>6253</v>
      </c>
      <c r="F246" t="s">
        <v>20</v>
      </c>
      <c r="G246" t="s">
        <v>1268</v>
      </c>
      <c r="H246" t="s">
        <v>1269</v>
      </c>
      <c r="I246" t="s">
        <v>55</v>
      </c>
      <c r="J246" t="s">
        <v>24</v>
      </c>
      <c r="K246" t="s">
        <v>212</v>
      </c>
      <c r="L246" t="s">
        <v>26</v>
      </c>
      <c r="M246" t="s">
        <v>57</v>
      </c>
      <c r="N246" t="s">
        <v>1270</v>
      </c>
      <c r="O246" t="s">
        <v>29</v>
      </c>
      <c r="P246" t="s">
        <v>39</v>
      </c>
      <c r="Q246" t="s">
        <v>1271</v>
      </c>
      <c r="R246">
        <v>1964.8</v>
      </c>
      <c r="S246">
        <v>9</v>
      </c>
      <c r="T246">
        <v>0.1</v>
      </c>
      <c r="U246">
        <v>589.37</v>
      </c>
    </row>
    <row r="247" spans="1:21" x14ac:dyDescent="0.35">
      <c r="A247" t="s">
        <v>1272</v>
      </c>
      <c r="B247" s="2">
        <v>43501</v>
      </c>
      <c r="C247" s="2" t="str">
        <f t="shared" si="6"/>
        <v>February</v>
      </c>
      <c r="D247" s="2" t="str">
        <f t="shared" si="7"/>
        <v>2019</v>
      </c>
      <c r="E247" s="2">
        <v>43771</v>
      </c>
      <c r="F247" t="s">
        <v>42</v>
      </c>
      <c r="G247" t="s">
        <v>1273</v>
      </c>
      <c r="H247" t="s">
        <v>1274</v>
      </c>
      <c r="I247" t="s">
        <v>35</v>
      </c>
      <c r="J247" t="s">
        <v>24</v>
      </c>
      <c r="K247" t="s">
        <v>133</v>
      </c>
      <c r="L247" t="s">
        <v>26</v>
      </c>
      <c r="M247" t="s">
        <v>83</v>
      </c>
      <c r="N247" t="s">
        <v>1275</v>
      </c>
      <c r="O247" t="s">
        <v>48</v>
      </c>
      <c r="P247" t="s">
        <v>59</v>
      </c>
      <c r="Q247" t="s">
        <v>1276</v>
      </c>
      <c r="R247">
        <v>1676.96</v>
      </c>
      <c r="S247">
        <v>1</v>
      </c>
      <c r="T247">
        <v>0.4</v>
      </c>
      <c r="U247">
        <v>671.62</v>
      </c>
    </row>
    <row r="248" spans="1:21" x14ac:dyDescent="0.35">
      <c r="A248" t="s">
        <v>1277</v>
      </c>
      <c r="B248" s="2">
        <v>43226</v>
      </c>
      <c r="C248" s="2" t="str">
        <f t="shared" si="6"/>
        <v>May</v>
      </c>
      <c r="D248" s="2" t="str">
        <f t="shared" si="7"/>
        <v>2018</v>
      </c>
      <c r="E248" s="2">
        <v>43409</v>
      </c>
      <c r="F248" t="s">
        <v>52</v>
      </c>
      <c r="G248" t="s">
        <v>1278</v>
      </c>
      <c r="H248" t="s">
        <v>1279</v>
      </c>
      <c r="I248" t="s">
        <v>55</v>
      </c>
      <c r="J248" t="s">
        <v>24</v>
      </c>
      <c r="K248" t="s">
        <v>97</v>
      </c>
      <c r="L248" t="s">
        <v>170</v>
      </c>
      <c r="M248" t="s">
        <v>74</v>
      </c>
      <c r="N248" t="s">
        <v>1280</v>
      </c>
      <c r="O248" t="s">
        <v>67</v>
      </c>
      <c r="P248" t="s">
        <v>117</v>
      </c>
      <c r="Q248" t="s">
        <v>1281</v>
      </c>
      <c r="R248">
        <v>1847.95</v>
      </c>
      <c r="S248">
        <v>5</v>
      </c>
      <c r="T248">
        <v>0.2</v>
      </c>
      <c r="U248">
        <v>101.97</v>
      </c>
    </row>
    <row r="249" spans="1:21" x14ac:dyDescent="0.35">
      <c r="A249" t="s">
        <v>1282</v>
      </c>
      <c r="B249" s="2">
        <v>42672</v>
      </c>
      <c r="C249" s="2" t="str">
        <f t="shared" si="6"/>
        <v>October</v>
      </c>
      <c r="D249" s="2" t="str">
        <f t="shared" si="7"/>
        <v>2016</v>
      </c>
      <c r="E249" s="2">
        <v>42562</v>
      </c>
      <c r="F249" t="s">
        <v>20</v>
      </c>
      <c r="G249" t="s">
        <v>1283</v>
      </c>
      <c r="H249" t="s">
        <v>1284</v>
      </c>
      <c r="I249" t="s">
        <v>55</v>
      </c>
      <c r="J249" t="s">
        <v>24</v>
      </c>
      <c r="K249" t="s">
        <v>45</v>
      </c>
      <c r="L249" t="s">
        <v>36</v>
      </c>
      <c r="M249" t="s">
        <v>83</v>
      </c>
      <c r="N249" t="s">
        <v>1285</v>
      </c>
      <c r="O249" t="s">
        <v>48</v>
      </c>
      <c r="P249" t="s">
        <v>49</v>
      </c>
      <c r="Q249" t="s">
        <v>1286</v>
      </c>
      <c r="R249">
        <v>184.3</v>
      </c>
      <c r="S249">
        <v>3</v>
      </c>
      <c r="T249">
        <v>0</v>
      </c>
      <c r="U249">
        <v>-40.69</v>
      </c>
    </row>
    <row r="250" spans="1:21" x14ac:dyDescent="0.35">
      <c r="A250" t="s">
        <v>1287</v>
      </c>
      <c r="B250" s="2">
        <v>42953</v>
      </c>
      <c r="C250" s="2" t="str">
        <f t="shared" si="6"/>
        <v>August</v>
      </c>
      <c r="D250" s="2" t="str">
        <f t="shared" si="7"/>
        <v>2017</v>
      </c>
      <c r="E250" s="2">
        <v>42986</v>
      </c>
      <c r="F250" t="s">
        <v>42</v>
      </c>
      <c r="G250" t="s">
        <v>1288</v>
      </c>
      <c r="H250" t="s">
        <v>1289</v>
      </c>
      <c r="I250" t="s">
        <v>35</v>
      </c>
      <c r="J250" t="s">
        <v>24</v>
      </c>
      <c r="K250" t="s">
        <v>73</v>
      </c>
      <c r="L250" t="s">
        <v>37</v>
      </c>
      <c r="M250" t="s">
        <v>74</v>
      </c>
      <c r="N250" t="s">
        <v>1290</v>
      </c>
      <c r="O250" t="s">
        <v>48</v>
      </c>
      <c r="P250" t="s">
        <v>49</v>
      </c>
      <c r="Q250" t="s">
        <v>425</v>
      </c>
      <c r="R250">
        <v>1331.61</v>
      </c>
      <c r="S250">
        <v>1</v>
      </c>
      <c r="T250">
        <v>0.1</v>
      </c>
      <c r="U250">
        <v>500.66</v>
      </c>
    </row>
    <row r="251" spans="1:21" x14ac:dyDescent="0.35">
      <c r="A251" t="s">
        <v>1291</v>
      </c>
      <c r="B251" s="2">
        <v>43386</v>
      </c>
      <c r="C251" s="2" t="str">
        <f t="shared" si="6"/>
        <v>October</v>
      </c>
      <c r="D251" s="2" t="str">
        <f t="shared" si="7"/>
        <v>2018</v>
      </c>
      <c r="E251" s="2" t="s">
        <v>6044</v>
      </c>
      <c r="F251" t="s">
        <v>42</v>
      </c>
      <c r="G251" t="s">
        <v>1292</v>
      </c>
      <c r="H251" t="s">
        <v>1293</v>
      </c>
      <c r="I251" t="s">
        <v>23</v>
      </c>
      <c r="J251" t="s">
        <v>24</v>
      </c>
      <c r="K251" t="s">
        <v>103</v>
      </c>
      <c r="L251" t="s">
        <v>170</v>
      </c>
      <c r="M251" t="s">
        <v>74</v>
      </c>
      <c r="N251" t="s">
        <v>1294</v>
      </c>
      <c r="O251" t="s">
        <v>29</v>
      </c>
      <c r="P251" t="s">
        <v>155</v>
      </c>
      <c r="Q251" t="s">
        <v>563</v>
      </c>
      <c r="R251">
        <v>1930.78</v>
      </c>
      <c r="S251">
        <v>2</v>
      </c>
      <c r="T251">
        <v>0.1</v>
      </c>
      <c r="U251">
        <v>-65.58</v>
      </c>
    </row>
    <row r="252" spans="1:21" x14ac:dyDescent="0.35">
      <c r="A252" t="s">
        <v>1295</v>
      </c>
      <c r="B252" s="2">
        <v>43285</v>
      </c>
      <c r="C252" s="2" t="str">
        <f t="shared" si="6"/>
        <v>July</v>
      </c>
      <c r="D252" s="2" t="str">
        <f t="shared" si="7"/>
        <v>2018</v>
      </c>
      <c r="E252" s="2">
        <v>43227</v>
      </c>
      <c r="F252" t="s">
        <v>20</v>
      </c>
      <c r="G252" t="s">
        <v>1296</v>
      </c>
      <c r="H252" t="s">
        <v>1297</v>
      </c>
      <c r="I252" t="s">
        <v>23</v>
      </c>
      <c r="J252" t="s">
        <v>24</v>
      </c>
      <c r="K252" t="s">
        <v>25</v>
      </c>
      <c r="L252" t="s">
        <v>26</v>
      </c>
      <c r="M252" t="s">
        <v>74</v>
      </c>
      <c r="N252" t="s">
        <v>1298</v>
      </c>
      <c r="O252" t="s">
        <v>29</v>
      </c>
      <c r="P252" t="s">
        <v>155</v>
      </c>
      <c r="Q252" t="s">
        <v>1299</v>
      </c>
      <c r="R252">
        <v>396.51</v>
      </c>
      <c r="S252">
        <v>9</v>
      </c>
      <c r="T252">
        <v>0.3</v>
      </c>
      <c r="U252">
        <v>83.99</v>
      </c>
    </row>
    <row r="253" spans="1:21" x14ac:dyDescent="0.35">
      <c r="A253" t="s">
        <v>1300</v>
      </c>
      <c r="B253" s="2">
        <v>43356</v>
      </c>
      <c r="C253" s="2" t="str">
        <f t="shared" si="6"/>
        <v>September</v>
      </c>
      <c r="D253" s="2" t="str">
        <f t="shared" si="7"/>
        <v>2018</v>
      </c>
      <c r="E253" s="2" t="s">
        <v>5949</v>
      </c>
      <c r="F253" t="s">
        <v>62</v>
      </c>
      <c r="G253" t="s">
        <v>1301</v>
      </c>
      <c r="H253" t="s">
        <v>1302</v>
      </c>
      <c r="I253" t="s">
        <v>55</v>
      </c>
      <c r="J253" t="s">
        <v>24</v>
      </c>
      <c r="K253" t="s">
        <v>73</v>
      </c>
      <c r="L253" t="s">
        <v>82</v>
      </c>
      <c r="M253" t="s">
        <v>57</v>
      </c>
      <c r="N253" t="s">
        <v>1303</v>
      </c>
      <c r="O253" t="s">
        <v>67</v>
      </c>
      <c r="P253" t="s">
        <v>92</v>
      </c>
      <c r="Q253" t="s">
        <v>689</v>
      </c>
      <c r="R253">
        <v>248.77</v>
      </c>
      <c r="S253">
        <v>3</v>
      </c>
      <c r="T253">
        <v>0.1</v>
      </c>
      <c r="U253">
        <v>-2.2799999999999998</v>
      </c>
    </row>
    <row r="254" spans="1:21" x14ac:dyDescent="0.35">
      <c r="A254" t="s">
        <v>1304</v>
      </c>
      <c r="B254" s="2">
        <v>42936</v>
      </c>
      <c r="C254" s="2" t="str">
        <f t="shared" si="6"/>
        <v>July</v>
      </c>
      <c r="D254" s="2" t="str">
        <f t="shared" si="7"/>
        <v>2017</v>
      </c>
      <c r="E254" s="2" t="s">
        <v>6064</v>
      </c>
      <c r="F254" t="s">
        <v>42</v>
      </c>
      <c r="G254" t="s">
        <v>1305</v>
      </c>
      <c r="H254" t="s">
        <v>1306</v>
      </c>
      <c r="I254" t="s">
        <v>23</v>
      </c>
      <c r="J254" t="s">
        <v>24</v>
      </c>
      <c r="K254" t="s">
        <v>73</v>
      </c>
      <c r="L254" t="s">
        <v>26</v>
      </c>
      <c r="M254" t="s">
        <v>27</v>
      </c>
      <c r="N254" t="s">
        <v>1307</v>
      </c>
      <c r="O254" t="s">
        <v>67</v>
      </c>
      <c r="P254" t="s">
        <v>92</v>
      </c>
      <c r="Q254" t="s">
        <v>1308</v>
      </c>
      <c r="R254">
        <v>936.69</v>
      </c>
      <c r="S254">
        <v>1</v>
      </c>
      <c r="T254">
        <v>0</v>
      </c>
      <c r="U254">
        <v>-268.89999999999998</v>
      </c>
    </row>
    <row r="255" spans="1:21" x14ac:dyDescent="0.35">
      <c r="A255" t="s">
        <v>1309</v>
      </c>
      <c r="B255" s="2">
        <v>43678</v>
      </c>
      <c r="C255" s="2" t="str">
        <f t="shared" si="6"/>
        <v>August</v>
      </c>
      <c r="D255" s="2" t="str">
        <f t="shared" si="7"/>
        <v>2019</v>
      </c>
      <c r="E255" s="2">
        <v>43563</v>
      </c>
      <c r="F255" t="s">
        <v>62</v>
      </c>
      <c r="G255" t="s">
        <v>1310</v>
      </c>
      <c r="H255" t="s">
        <v>1311</v>
      </c>
      <c r="I255" t="s">
        <v>23</v>
      </c>
      <c r="J255" t="s">
        <v>24</v>
      </c>
      <c r="K255" t="s">
        <v>36</v>
      </c>
      <c r="L255" t="s">
        <v>65</v>
      </c>
      <c r="M255" t="s">
        <v>27</v>
      </c>
      <c r="N255" t="s">
        <v>1312</v>
      </c>
      <c r="O255" t="s">
        <v>48</v>
      </c>
      <c r="P255" t="s">
        <v>59</v>
      </c>
      <c r="Q255" t="s">
        <v>1313</v>
      </c>
      <c r="R255">
        <v>1583.99</v>
      </c>
      <c r="S255">
        <v>8</v>
      </c>
      <c r="T255">
        <v>0</v>
      </c>
      <c r="U255">
        <v>-330.68</v>
      </c>
    </row>
    <row r="256" spans="1:21" x14ac:dyDescent="0.35">
      <c r="A256" t="s">
        <v>1314</v>
      </c>
      <c r="B256" s="2">
        <v>42472</v>
      </c>
      <c r="C256" s="2" t="str">
        <f t="shared" si="6"/>
        <v>April</v>
      </c>
      <c r="D256" s="2" t="str">
        <f t="shared" si="7"/>
        <v>2016</v>
      </c>
      <c r="E256" s="2" t="s">
        <v>6020</v>
      </c>
      <c r="F256" t="s">
        <v>62</v>
      </c>
      <c r="G256" t="s">
        <v>1315</v>
      </c>
      <c r="H256" t="s">
        <v>1316</v>
      </c>
      <c r="I256" t="s">
        <v>55</v>
      </c>
      <c r="J256" t="s">
        <v>24</v>
      </c>
      <c r="K256" t="s">
        <v>97</v>
      </c>
      <c r="L256" t="s">
        <v>36</v>
      </c>
      <c r="M256" t="s">
        <v>83</v>
      </c>
      <c r="N256" t="s">
        <v>1317</v>
      </c>
      <c r="O256" t="s">
        <v>29</v>
      </c>
      <c r="P256" t="s">
        <v>39</v>
      </c>
      <c r="Q256" t="s">
        <v>1318</v>
      </c>
      <c r="R256">
        <v>477.99</v>
      </c>
      <c r="S256">
        <v>4</v>
      </c>
      <c r="T256">
        <v>0.4</v>
      </c>
      <c r="U256">
        <v>-30</v>
      </c>
    </row>
    <row r="257" spans="1:21" x14ac:dyDescent="0.35">
      <c r="A257" t="s">
        <v>1319</v>
      </c>
      <c r="B257" s="2">
        <v>43636</v>
      </c>
      <c r="C257" s="2" t="str">
        <f t="shared" si="6"/>
        <v>June</v>
      </c>
      <c r="D257" s="2" t="str">
        <f t="shared" si="7"/>
        <v>2019</v>
      </c>
      <c r="E257" s="2" t="s">
        <v>5930</v>
      </c>
      <c r="F257" t="s">
        <v>62</v>
      </c>
      <c r="G257" t="s">
        <v>1320</v>
      </c>
      <c r="H257" t="s">
        <v>369</v>
      </c>
      <c r="I257" t="s">
        <v>55</v>
      </c>
      <c r="J257" t="s">
        <v>24</v>
      </c>
      <c r="K257" t="s">
        <v>81</v>
      </c>
      <c r="L257" t="s">
        <v>90</v>
      </c>
      <c r="M257" t="s">
        <v>83</v>
      </c>
      <c r="N257" t="s">
        <v>1321</v>
      </c>
      <c r="O257" t="s">
        <v>29</v>
      </c>
      <c r="P257" t="s">
        <v>30</v>
      </c>
      <c r="Q257" t="s">
        <v>1322</v>
      </c>
      <c r="R257">
        <v>1773.52</v>
      </c>
      <c r="S257">
        <v>7</v>
      </c>
      <c r="T257">
        <v>0.3</v>
      </c>
      <c r="U257">
        <v>826.27</v>
      </c>
    </row>
    <row r="258" spans="1:21" x14ac:dyDescent="0.35">
      <c r="A258" t="s">
        <v>1323</v>
      </c>
      <c r="B258" s="2">
        <v>43269</v>
      </c>
      <c r="C258" s="2" t="str">
        <f t="shared" si="6"/>
        <v>June</v>
      </c>
      <c r="D258" s="2" t="str">
        <f t="shared" si="7"/>
        <v>2018</v>
      </c>
      <c r="E258" s="2" t="s">
        <v>6052</v>
      </c>
      <c r="F258" t="s">
        <v>42</v>
      </c>
      <c r="G258" t="s">
        <v>1324</v>
      </c>
      <c r="H258" t="s">
        <v>1325</v>
      </c>
      <c r="I258" t="s">
        <v>35</v>
      </c>
      <c r="J258" t="s">
        <v>24</v>
      </c>
      <c r="K258" t="s">
        <v>212</v>
      </c>
      <c r="L258" t="s">
        <v>115</v>
      </c>
      <c r="M258" t="s">
        <v>27</v>
      </c>
      <c r="N258" t="s">
        <v>1326</v>
      </c>
      <c r="O258" t="s">
        <v>29</v>
      </c>
      <c r="P258" t="s">
        <v>39</v>
      </c>
      <c r="Q258" t="s">
        <v>1327</v>
      </c>
      <c r="R258">
        <v>568.71</v>
      </c>
      <c r="S258">
        <v>4</v>
      </c>
      <c r="T258">
        <v>0</v>
      </c>
      <c r="U258">
        <v>250.64</v>
      </c>
    </row>
    <row r="259" spans="1:21" x14ac:dyDescent="0.35">
      <c r="A259" t="s">
        <v>1328</v>
      </c>
      <c r="B259" s="2">
        <v>42589</v>
      </c>
      <c r="C259" s="2" t="str">
        <f t="shared" ref="C259:C322" si="8">TEXT(B259,"mmmm")</f>
        <v>August</v>
      </c>
      <c r="D259" s="2" t="str">
        <f t="shared" ref="D259:D322" si="9">TEXT(B259,"yyyy")</f>
        <v>2016</v>
      </c>
      <c r="E259" s="2">
        <v>42682</v>
      </c>
      <c r="F259" t="s">
        <v>42</v>
      </c>
      <c r="G259" t="s">
        <v>1329</v>
      </c>
      <c r="H259" t="s">
        <v>1330</v>
      </c>
      <c r="I259" t="s">
        <v>55</v>
      </c>
      <c r="J259" t="s">
        <v>24</v>
      </c>
      <c r="K259" t="s">
        <v>81</v>
      </c>
      <c r="L259" t="s">
        <v>26</v>
      </c>
      <c r="M259" t="s">
        <v>83</v>
      </c>
      <c r="N259" t="s">
        <v>1331</v>
      </c>
      <c r="O259" t="s">
        <v>48</v>
      </c>
      <c r="P259" t="s">
        <v>76</v>
      </c>
      <c r="Q259" t="s">
        <v>1332</v>
      </c>
      <c r="R259">
        <v>871.69</v>
      </c>
      <c r="S259">
        <v>6</v>
      </c>
      <c r="T259">
        <v>0.1</v>
      </c>
      <c r="U259">
        <v>130.47</v>
      </c>
    </row>
    <row r="260" spans="1:21" x14ac:dyDescent="0.35">
      <c r="A260" t="s">
        <v>1333</v>
      </c>
      <c r="B260" s="2">
        <v>43171</v>
      </c>
      <c r="C260" s="2" t="str">
        <f t="shared" si="8"/>
        <v>March</v>
      </c>
      <c r="D260" s="2" t="str">
        <f t="shared" si="9"/>
        <v>2018</v>
      </c>
      <c r="E260" s="2" t="s">
        <v>6060</v>
      </c>
      <c r="F260" t="s">
        <v>20</v>
      </c>
      <c r="G260" t="s">
        <v>1334</v>
      </c>
      <c r="H260" t="s">
        <v>1335</v>
      </c>
      <c r="I260" t="s">
        <v>35</v>
      </c>
      <c r="J260" t="s">
        <v>24</v>
      </c>
      <c r="K260" t="s">
        <v>89</v>
      </c>
      <c r="L260" t="s">
        <v>26</v>
      </c>
      <c r="M260" t="s">
        <v>74</v>
      </c>
      <c r="N260" t="s">
        <v>1336</v>
      </c>
      <c r="O260" t="s">
        <v>67</v>
      </c>
      <c r="P260" t="s">
        <v>92</v>
      </c>
      <c r="Q260" t="s">
        <v>1337</v>
      </c>
      <c r="R260">
        <v>1407.92</v>
      </c>
      <c r="S260">
        <v>5</v>
      </c>
      <c r="T260">
        <v>0.1</v>
      </c>
      <c r="U260">
        <v>537.4</v>
      </c>
    </row>
    <row r="261" spans="1:21" x14ac:dyDescent="0.35">
      <c r="A261" t="s">
        <v>1338</v>
      </c>
      <c r="B261" s="2">
        <v>42610</v>
      </c>
      <c r="C261" s="2" t="str">
        <f t="shared" si="8"/>
        <v>August</v>
      </c>
      <c r="D261" s="2" t="str">
        <f t="shared" si="9"/>
        <v>2016</v>
      </c>
      <c r="E261" s="2">
        <v>42409</v>
      </c>
      <c r="F261" t="s">
        <v>62</v>
      </c>
      <c r="G261" t="s">
        <v>1339</v>
      </c>
      <c r="H261" t="s">
        <v>1340</v>
      </c>
      <c r="I261" t="s">
        <v>23</v>
      </c>
      <c r="J261" t="s">
        <v>24</v>
      </c>
      <c r="K261" t="s">
        <v>25</v>
      </c>
      <c r="L261" t="s">
        <v>37</v>
      </c>
      <c r="M261" t="s">
        <v>57</v>
      </c>
      <c r="N261" t="s">
        <v>1341</v>
      </c>
      <c r="O261" t="s">
        <v>29</v>
      </c>
      <c r="P261" t="s">
        <v>155</v>
      </c>
      <c r="Q261" t="s">
        <v>1342</v>
      </c>
      <c r="R261">
        <v>604.12</v>
      </c>
      <c r="S261">
        <v>10</v>
      </c>
      <c r="T261">
        <v>0</v>
      </c>
      <c r="U261">
        <v>23.26</v>
      </c>
    </row>
    <row r="262" spans="1:21" x14ac:dyDescent="0.35">
      <c r="A262" t="s">
        <v>1343</v>
      </c>
      <c r="B262" s="2">
        <v>43786</v>
      </c>
      <c r="C262" s="2" t="str">
        <f t="shared" si="8"/>
        <v>November</v>
      </c>
      <c r="D262" s="2" t="str">
        <f t="shared" si="9"/>
        <v>2019</v>
      </c>
      <c r="E262" s="2" t="s">
        <v>6254</v>
      </c>
      <c r="F262" t="s">
        <v>42</v>
      </c>
      <c r="G262" t="s">
        <v>1344</v>
      </c>
      <c r="H262" t="s">
        <v>1345</v>
      </c>
      <c r="I262" t="s">
        <v>23</v>
      </c>
      <c r="J262" t="s">
        <v>24</v>
      </c>
      <c r="K262" t="s">
        <v>97</v>
      </c>
      <c r="L262" t="s">
        <v>36</v>
      </c>
      <c r="M262" t="s">
        <v>27</v>
      </c>
      <c r="N262" t="s">
        <v>1346</v>
      </c>
      <c r="O262" t="s">
        <v>48</v>
      </c>
      <c r="P262" t="s">
        <v>49</v>
      </c>
      <c r="Q262" t="s">
        <v>1347</v>
      </c>
      <c r="R262">
        <v>1082.27</v>
      </c>
      <c r="S262">
        <v>1</v>
      </c>
      <c r="T262">
        <v>0.4</v>
      </c>
      <c r="U262">
        <v>121.88</v>
      </c>
    </row>
    <row r="263" spans="1:21" x14ac:dyDescent="0.35">
      <c r="A263" t="s">
        <v>1348</v>
      </c>
      <c r="B263" s="2">
        <v>43230</v>
      </c>
      <c r="C263" s="2" t="str">
        <f t="shared" si="8"/>
        <v>May</v>
      </c>
      <c r="D263" s="2" t="str">
        <f t="shared" si="9"/>
        <v>2018</v>
      </c>
      <c r="E263" s="2" t="s">
        <v>6053</v>
      </c>
      <c r="F263" t="s">
        <v>52</v>
      </c>
      <c r="G263" t="s">
        <v>1349</v>
      </c>
      <c r="H263" t="s">
        <v>1350</v>
      </c>
      <c r="I263" t="s">
        <v>35</v>
      </c>
      <c r="J263" t="s">
        <v>24</v>
      </c>
      <c r="K263" t="s">
        <v>73</v>
      </c>
      <c r="L263" t="s">
        <v>56</v>
      </c>
      <c r="M263" t="s">
        <v>74</v>
      </c>
      <c r="N263" t="s">
        <v>1351</v>
      </c>
      <c r="O263" t="s">
        <v>48</v>
      </c>
      <c r="P263" t="s">
        <v>128</v>
      </c>
      <c r="Q263" t="s">
        <v>1352</v>
      </c>
      <c r="R263">
        <v>1481.21</v>
      </c>
      <c r="S263">
        <v>7</v>
      </c>
      <c r="T263">
        <v>0</v>
      </c>
      <c r="U263">
        <v>124.19</v>
      </c>
    </row>
    <row r="264" spans="1:21" x14ac:dyDescent="0.35">
      <c r="A264" t="s">
        <v>1353</v>
      </c>
      <c r="B264" s="2">
        <v>43525</v>
      </c>
      <c r="C264" s="2" t="str">
        <f t="shared" si="8"/>
        <v>March</v>
      </c>
      <c r="D264" s="2" t="str">
        <f t="shared" si="9"/>
        <v>2019</v>
      </c>
      <c r="E264" s="2">
        <v>43741</v>
      </c>
      <c r="F264" t="s">
        <v>42</v>
      </c>
      <c r="G264" t="s">
        <v>1354</v>
      </c>
      <c r="H264" t="s">
        <v>1355</v>
      </c>
      <c r="I264" t="s">
        <v>23</v>
      </c>
      <c r="J264" t="s">
        <v>24</v>
      </c>
      <c r="K264" t="s">
        <v>103</v>
      </c>
      <c r="L264" t="s">
        <v>90</v>
      </c>
      <c r="M264" t="s">
        <v>57</v>
      </c>
      <c r="N264" t="s">
        <v>1356</v>
      </c>
      <c r="O264" t="s">
        <v>48</v>
      </c>
      <c r="P264" t="s">
        <v>59</v>
      </c>
      <c r="Q264" t="s">
        <v>1357</v>
      </c>
      <c r="R264">
        <v>726.8</v>
      </c>
      <c r="S264">
        <v>8</v>
      </c>
      <c r="T264">
        <v>0</v>
      </c>
      <c r="U264">
        <v>302.2</v>
      </c>
    </row>
    <row r="265" spans="1:21" x14ac:dyDescent="0.35">
      <c r="A265" t="s">
        <v>1358</v>
      </c>
      <c r="B265" s="2">
        <v>42865</v>
      </c>
      <c r="C265" s="2" t="str">
        <f t="shared" si="8"/>
        <v>May</v>
      </c>
      <c r="D265" s="2" t="str">
        <f t="shared" si="9"/>
        <v>2017</v>
      </c>
      <c r="E265" s="2" t="s">
        <v>5963</v>
      </c>
      <c r="F265" t="s">
        <v>62</v>
      </c>
      <c r="G265" t="s">
        <v>1359</v>
      </c>
      <c r="H265" t="s">
        <v>692</v>
      </c>
      <c r="I265" t="s">
        <v>35</v>
      </c>
      <c r="J265" t="s">
        <v>24</v>
      </c>
      <c r="K265" t="s">
        <v>73</v>
      </c>
      <c r="L265" t="s">
        <v>115</v>
      </c>
      <c r="M265" t="s">
        <v>83</v>
      </c>
      <c r="N265" t="s">
        <v>1360</v>
      </c>
      <c r="O265" t="s">
        <v>67</v>
      </c>
      <c r="P265" t="s">
        <v>68</v>
      </c>
      <c r="Q265" t="s">
        <v>1361</v>
      </c>
      <c r="R265">
        <v>1501.96</v>
      </c>
      <c r="S265">
        <v>5</v>
      </c>
      <c r="T265">
        <v>0</v>
      </c>
      <c r="U265">
        <v>261.17</v>
      </c>
    </row>
    <row r="266" spans="1:21" x14ac:dyDescent="0.35">
      <c r="A266" t="s">
        <v>1362</v>
      </c>
      <c r="B266" s="2">
        <v>43271</v>
      </c>
      <c r="C266" s="2" t="str">
        <f t="shared" si="8"/>
        <v>June</v>
      </c>
      <c r="D266" s="2" t="str">
        <f t="shared" si="9"/>
        <v>2018</v>
      </c>
      <c r="E266" s="2" t="s">
        <v>6052</v>
      </c>
      <c r="F266" t="s">
        <v>52</v>
      </c>
      <c r="G266" t="s">
        <v>1363</v>
      </c>
      <c r="H266" t="s">
        <v>1364</v>
      </c>
      <c r="I266" t="s">
        <v>23</v>
      </c>
      <c r="J266" t="s">
        <v>24</v>
      </c>
      <c r="K266" t="s">
        <v>97</v>
      </c>
      <c r="L266" t="s">
        <v>56</v>
      </c>
      <c r="M266" t="s">
        <v>83</v>
      </c>
      <c r="N266" t="s">
        <v>1365</v>
      </c>
      <c r="O266" t="s">
        <v>67</v>
      </c>
      <c r="P266" t="s">
        <v>117</v>
      </c>
      <c r="Q266" t="s">
        <v>1366</v>
      </c>
      <c r="R266">
        <v>1521.01</v>
      </c>
      <c r="S266">
        <v>9</v>
      </c>
      <c r="T266">
        <v>0.4</v>
      </c>
      <c r="U266">
        <v>-260.68</v>
      </c>
    </row>
    <row r="267" spans="1:21" x14ac:dyDescent="0.35">
      <c r="A267" t="s">
        <v>1367</v>
      </c>
      <c r="B267" s="2">
        <v>42855</v>
      </c>
      <c r="C267" s="2" t="str">
        <f t="shared" si="8"/>
        <v>April</v>
      </c>
      <c r="D267" s="2" t="str">
        <f t="shared" si="9"/>
        <v>2017</v>
      </c>
      <c r="E267" s="2">
        <v>43013</v>
      </c>
      <c r="F267" t="s">
        <v>42</v>
      </c>
      <c r="G267" t="s">
        <v>1368</v>
      </c>
      <c r="H267" t="s">
        <v>1369</v>
      </c>
      <c r="I267" t="s">
        <v>23</v>
      </c>
      <c r="J267" t="s">
        <v>24</v>
      </c>
      <c r="K267" t="s">
        <v>36</v>
      </c>
      <c r="L267" t="s">
        <v>115</v>
      </c>
      <c r="M267" t="s">
        <v>27</v>
      </c>
      <c r="N267" t="s">
        <v>1370</v>
      </c>
      <c r="O267" t="s">
        <v>29</v>
      </c>
      <c r="P267" t="s">
        <v>155</v>
      </c>
      <c r="Q267" t="s">
        <v>1371</v>
      </c>
      <c r="R267">
        <v>1056.6600000000001</v>
      </c>
      <c r="S267">
        <v>8</v>
      </c>
      <c r="T267">
        <v>0.1</v>
      </c>
      <c r="U267">
        <v>90.98</v>
      </c>
    </row>
    <row r="268" spans="1:21" x14ac:dyDescent="0.35">
      <c r="A268" t="s">
        <v>1372</v>
      </c>
      <c r="B268" s="2">
        <v>42852</v>
      </c>
      <c r="C268" s="2" t="str">
        <f t="shared" si="8"/>
        <v>April</v>
      </c>
      <c r="D268" s="2" t="str">
        <f t="shared" si="9"/>
        <v>2017</v>
      </c>
      <c r="E268" s="2">
        <v>42799</v>
      </c>
      <c r="F268" t="s">
        <v>52</v>
      </c>
      <c r="G268" t="s">
        <v>1373</v>
      </c>
      <c r="H268" t="s">
        <v>1374</v>
      </c>
      <c r="I268" t="s">
        <v>23</v>
      </c>
      <c r="J268" t="s">
        <v>24</v>
      </c>
      <c r="K268" t="s">
        <v>97</v>
      </c>
      <c r="L268" t="s">
        <v>65</v>
      </c>
      <c r="M268" t="s">
        <v>74</v>
      </c>
      <c r="N268" t="s">
        <v>1375</v>
      </c>
      <c r="O268" t="s">
        <v>48</v>
      </c>
      <c r="P268" t="s">
        <v>59</v>
      </c>
      <c r="Q268" t="s">
        <v>1376</v>
      </c>
      <c r="R268">
        <v>329.5</v>
      </c>
      <c r="S268">
        <v>6</v>
      </c>
      <c r="T268">
        <v>0.2</v>
      </c>
      <c r="U268">
        <v>6.49</v>
      </c>
    </row>
    <row r="269" spans="1:21" x14ac:dyDescent="0.35">
      <c r="A269" t="s">
        <v>1377</v>
      </c>
      <c r="B269" s="2">
        <v>43665</v>
      </c>
      <c r="C269" s="2" t="str">
        <f t="shared" si="8"/>
        <v>July</v>
      </c>
      <c r="D269" s="2" t="str">
        <f t="shared" si="9"/>
        <v>2019</v>
      </c>
      <c r="E269" s="2" t="s">
        <v>6012</v>
      </c>
      <c r="F269" t="s">
        <v>52</v>
      </c>
      <c r="G269" t="s">
        <v>1378</v>
      </c>
      <c r="H269" t="s">
        <v>1379</v>
      </c>
      <c r="I269" t="s">
        <v>35</v>
      </c>
      <c r="J269" t="s">
        <v>24</v>
      </c>
      <c r="K269" t="s">
        <v>89</v>
      </c>
      <c r="L269" t="s">
        <v>46</v>
      </c>
      <c r="M269" t="s">
        <v>27</v>
      </c>
      <c r="N269" t="s">
        <v>1380</v>
      </c>
      <c r="O269" t="s">
        <v>67</v>
      </c>
      <c r="P269" t="s">
        <v>229</v>
      </c>
      <c r="Q269" t="s">
        <v>1381</v>
      </c>
      <c r="R269">
        <v>1675.54</v>
      </c>
      <c r="S269">
        <v>6</v>
      </c>
      <c r="T269">
        <v>0</v>
      </c>
      <c r="U269">
        <v>-22.94</v>
      </c>
    </row>
    <row r="270" spans="1:21" x14ac:dyDescent="0.35">
      <c r="A270" t="s">
        <v>1382</v>
      </c>
      <c r="B270" s="2">
        <v>43114</v>
      </c>
      <c r="C270" s="2" t="str">
        <f t="shared" si="8"/>
        <v>January</v>
      </c>
      <c r="D270" s="2" t="str">
        <f t="shared" si="9"/>
        <v>2018</v>
      </c>
      <c r="E270" s="2" t="s">
        <v>6255</v>
      </c>
      <c r="F270" t="s">
        <v>20</v>
      </c>
      <c r="G270" t="s">
        <v>1383</v>
      </c>
      <c r="H270" t="s">
        <v>1384</v>
      </c>
      <c r="I270" t="s">
        <v>35</v>
      </c>
      <c r="J270" t="s">
        <v>24</v>
      </c>
      <c r="K270" t="s">
        <v>25</v>
      </c>
      <c r="L270" t="s">
        <v>90</v>
      </c>
      <c r="M270" t="s">
        <v>57</v>
      </c>
      <c r="N270" t="s">
        <v>1385</v>
      </c>
      <c r="O270" t="s">
        <v>48</v>
      </c>
      <c r="P270" t="s">
        <v>128</v>
      </c>
      <c r="Q270" t="s">
        <v>661</v>
      </c>
      <c r="R270">
        <v>1615.51</v>
      </c>
      <c r="S270">
        <v>2</v>
      </c>
      <c r="T270">
        <v>0</v>
      </c>
      <c r="U270">
        <v>348.95</v>
      </c>
    </row>
    <row r="271" spans="1:21" x14ac:dyDescent="0.35">
      <c r="A271" t="s">
        <v>1386</v>
      </c>
      <c r="B271" s="2">
        <v>43181</v>
      </c>
      <c r="C271" s="2" t="str">
        <f t="shared" si="8"/>
        <v>March</v>
      </c>
      <c r="D271" s="2" t="str">
        <f t="shared" si="9"/>
        <v>2018</v>
      </c>
      <c r="E271" s="2" t="s">
        <v>5971</v>
      </c>
      <c r="F271" t="s">
        <v>20</v>
      </c>
      <c r="G271" t="s">
        <v>1387</v>
      </c>
      <c r="H271" t="s">
        <v>1388</v>
      </c>
      <c r="I271" t="s">
        <v>23</v>
      </c>
      <c r="J271" t="s">
        <v>24</v>
      </c>
      <c r="K271" t="s">
        <v>212</v>
      </c>
      <c r="L271" t="s">
        <v>26</v>
      </c>
      <c r="M271" t="s">
        <v>74</v>
      </c>
      <c r="N271" t="s">
        <v>1389</v>
      </c>
      <c r="O271" t="s">
        <v>29</v>
      </c>
      <c r="P271" t="s">
        <v>39</v>
      </c>
      <c r="Q271" t="s">
        <v>1000</v>
      </c>
      <c r="R271">
        <v>675</v>
      </c>
      <c r="S271">
        <v>2</v>
      </c>
      <c r="T271">
        <v>0</v>
      </c>
      <c r="U271">
        <v>30</v>
      </c>
    </row>
    <row r="272" spans="1:21" x14ac:dyDescent="0.35">
      <c r="A272" t="s">
        <v>1390</v>
      </c>
      <c r="B272" s="2">
        <v>43661</v>
      </c>
      <c r="C272" s="2" t="str">
        <f t="shared" si="8"/>
        <v>July</v>
      </c>
      <c r="D272" s="2" t="str">
        <f t="shared" si="9"/>
        <v>2019</v>
      </c>
      <c r="E272" s="2" t="s">
        <v>5977</v>
      </c>
      <c r="F272" t="s">
        <v>52</v>
      </c>
      <c r="G272" t="s">
        <v>1391</v>
      </c>
      <c r="H272" t="s">
        <v>1392</v>
      </c>
      <c r="I272" t="s">
        <v>35</v>
      </c>
      <c r="J272" t="s">
        <v>24</v>
      </c>
      <c r="K272" t="s">
        <v>212</v>
      </c>
      <c r="L272" t="s">
        <v>37</v>
      </c>
      <c r="M272" t="s">
        <v>83</v>
      </c>
      <c r="N272" t="s">
        <v>1393</v>
      </c>
      <c r="O272" t="s">
        <v>48</v>
      </c>
      <c r="P272" t="s">
        <v>59</v>
      </c>
      <c r="Q272" t="s">
        <v>1394</v>
      </c>
      <c r="R272">
        <v>973.99</v>
      </c>
      <c r="S272">
        <v>9</v>
      </c>
      <c r="T272">
        <v>0</v>
      </c>
      <c r="U272">
        <v>185.27</v>
      </c>
    </row>
    <row r="273" spans="1:21" x14ac:dyDescent="0.35">
      <c r="A273" t="s">
        <v>1395</v>
      </c>
      <c r="B273" s="2">
        <v>43206</v>
      </c>
      <c r="C273" s="2" t="str">
        <f t="shared" si="8"/>
        <v>April</v>
      </c>
      <c r="D273" s="2" t="str">
        <f t="shared" si="9"/>
        <v>2018</v>
      </c>
      <c r="E273" s="2" t="s">
        <v>6038</v>
      </c>
      <c r="F273" t="s">
        <v>62</v>
      </c>
      <c r="G273" t="s">
        <v>1396</v>
      </c>
      <c r="H273" t="s">
        <v>1397</v>
      </c>
      <c r="I273" t="s">
        <v>23</v>
      </c>
      <c r="J273" t="s">
        <v>24</v>
      </c>
      <c r="K273" t="s">
        <v>103</v>
      </c>
      <c r="L273" t="s">
        <v>82</v>
      </c>
      <c r="M273" t="s">
        <v>74</v>
      </c>
      <c r="N273" t="s">
        <v>1398</v>
      </c>
      <c r="O273" t="s">
        <v>48</v>
      </c>
      <c r="P273" t="s">
        <v>76</v>
      </c>
      <c r="Q273" t="s">
        <v>1399</v>
      </c>
      <c r="R273">
        <v>1330</v>
      </c>
      <c r="S273">
        <v>5</v>
      </c>
      <c r="T273">
        <v>0.2</v>
      </c>
      <c r="U273">
        <v>111.8</v>
      </c>
    </row>
    <row r="274" spans="1:21" x14ac:dyDescent="0.35">
      <c r="A274" t="s">
        <v>1400</v>
      </c>
      <c r="B274" s="2">
        <v>43437</v>
      </c>
      <c r="C274" s="2" t="str">
        <f t="shared" si="8"/>
        <v>December</v>
      </c>
      <c r="D274" s="2" t="str">
        <f t="shared" si="9"/>
        <v>2018</v>
      </c>
      <c r="E274" s="2" t="s">
        <v>5951</v>
      </c>
      <c r="F274" t="s">
        <v>62</v>
      </c>
      <c r="G274" t="s">
        <v>1401</v>
      </c>
      <c r="H274" t="s">
        <v>1402</v>
      </c>
      <c r="I274" t="s">
        <v>23</v>
      </c>
      <c r="J274" t="s">
        <v>24</v>
      </c>
      <c r="K274" t="s">
        <v>89</v>
      </c>
      <c r="L274" t="s">
        <v>82</v>
      </c>
      <c r="M274" t="s">
        <v>74</v>
      </c>
      <c r="N274" t="s">
        <v>1403</v>
      </c>
      <c r="O274" t="s">
        <v>48</v>
      </c>
      <c r="P274" t="s">
        <v>59</v>
      </c>
      <c r="Q274" t="s">
        <v>1404</v>
      </c>
      <c r="R274">
        <v>1012.29</v>
      </c>
      <c r="S274">
        <v>7</v>
      </c>
      <c r="T274">
        <v>0.3</v>
      </c>
      <c r="U274">
        <v>263.18</v>
      </c>
    </row>
    <row r="275" spans="1:21" x14ac:dyDescent="0.35">
      <c r="A275" t="s">
        <v>1405</v>
      </c>
      <c r="B275" s="2">
        <v>43779</v>
      </c>
      <c r="C275" s="2" t="str">
        <f t="shared" si="8"/>
        <v>November</v>
      </c>
      <c r="D275" s="2" t="str">
        <f t="shared" si="9"/>
        <v>2019</v>
      </c>
      <c r="E275" s="2" t="s">
        <v>6195</v>
      </c>
      <c r="F275" t="s">
        <v>52</v>
      </c>
      <c r="G275" t="s">
        <v>1406</v>
      </c>
      <c r="H275" t="s">
        <v>1407</v>
      </c>
      <c r="I275" t="s">
        <v>55</v>
      </c>
      <c r="J275" t="s">
        <v>24</v>
      </c>
      <c r="K275" t="s">
        <v>97</v>
      </c>
      <c r="L275" t="s">
        <v>46</v>
      </c>
      <c r="M275" t="s">
        <v>74</v>
      </c>
      <c r="N275" t="s">
        <v>1408</v>
      </c>
      <c r="O275" t="s">
        <v>67</v>
      </c>
      <c r="P275" t="s">
        <v>117</v>
      </c>
      <c r="Q275" t="s">
        <v>224</v>
      </c>
      <c r="R275">
        <v>928.27</v>
      </c>
      <c r="S275">
        <v>10</v>
      </c>
      <c r="T275">
        <v>0.4</v>
      </c>
      <c r="U275">
        <v>287.52</v>
      </c>
    </row>
    <row r="276" spans="1:21" x14ac:dyDescent="0.35">
      <c r="A276" t="s">
        <v>1409</v>
      </c>
      <c r="B276" s="2">
        <v>42564</v>
      </c>
      <c r="C276" s="2" t="str">
        <f t="shared" si="8"/>
        <v>July</v>
      </c>
      <c r="D276" s="2" t="str">
        <f t="shared" si="9"/>
        <v>2016</v>
      </c>
      <c r="E276" s="2" t="s">
        <v>6256</v>
      </c>
      <c r="F276" t="s">
        <v>42</v>
      </c>
      <c r="G276" t="s">
        <v>1410</v>
      </c>
      <c r="H276" t="s">
        <v>1411</v>
      </c>
      <c r="I276" t="s">
        <v>55</v>
      </c>
      <c r="J276" t="s">
        <v>24</v>
      </c>
      <c r="K276" t="s">
        <v>212</v>
      </c>
      <c r="L276" t="s">
        <v>46</v>
      </c>
      <c r="M276" t="s">
        <v>74</v>
      </c>
      <c r="N276" t="s">
        <v>1412</v>
      </c>
      <c r="O276" t="s">
        <v>29</v>
      </c>
      <c r="P276" t="s">
        <v>39</v>
      </c>
      <c r="Q276" t="s">
        <v>1413</v>
      </c>
      <c r="R276">
        <v>982.66</v>
      </c>
      <c r="S276">
        <v>3</v>
      </c>
      <c r="T276">
        <v>0</v>
      </c>
      <c r="U276">
        <v>89.4</v>
      </c>
    </row>
    <row r="277" spans="1:21" x14ac:dyDescent="0.35">
      <c r="A277" t="s">
        <v>1414</v>
      </c>
      <c r="B277" s="2">
        <v>43491</v>
      </c>
      <c r="C277" s="2" t="str">
        <f t="shared" si="8"/>
        <v>January</v>
      </c>
      <c r="D277" s="2" t="str">
        <f t="shared" si="9"/>
        <v>2019</v>
      </c>
      <c r="E277" s="2" t="s">
        <v>6113</v>
      </c>
      <c r="F277" t="s">
        <v>42</v>
      </c>
      <c r="G277" t="s">
        <v>1415</v>
      </c>
      <c r="H277" t="s">
        <v>1416</v>
      </c>
      <c r="I277" t="s">
        <v>35</v>
      </c>
      <c r="J277" t="s">
        <v>24</v>
      </c>
      <c r="K277" t="s">
        <v>45</v>
      </c>
      <c r="L277" t="s">
        <v>65</v>
      </c>
      <c r="M277" t="s">
        <v>83</v>
      </c>
      <c r="N277" t="s">
        <v>1417</v>
      </c>
      <c r="O277" t="s">
        <v>48</v>
      </c>
      <c r="P277" t="s">
        <v>59</v>
      </c>
      <c r="Q277" t="s">
        <v>1418</v>
      </c>
      <c r="R277">
        <v>90.79</v>
      </c>
      <c r="S277">
        <v>6</v>
      </c>
      <c r="T277">
        <v>0</v>
      </c>
      <c r="U277">
        <v>26.27</v>
      </c>
    </row>
    <row r="278" spans="1:21" x14ac:dyDescent="0.35">
      <c r="A278" t="s">
        <v>1419</v>
      </c>
      <c r="B278" s="2">
        <v>43531</v>
      </c>
      <c r="C278" s="2" t="str">
        <f t="shared" si="8"/>
        <v>March</v>
      </c>
      <c r="D278" s="2" t="str">
        <f t="shared" si="9"/>
        <v>2019</v>
      </c>
      <c r="E278" s="2" t="s">
        <v>6257</v>
      </c>
      <c r="F278" t="s">
        <v>20</v>
      </c>
      <c r="G278" t="s">
        <v>1420</v>
      </c>
      <c r="H278" t="s">
        <v>1421</v>
      </c>
      <c r="I278" t="s">
        <v>55</v>
      </c>
      <c r="J278" t="s">
        <v>24</v>
      </c>
      <c r="K278" t="s">
        <v>133</v>
      </c>
      <c r="L278" t="s">
        <v>170</v>
      </c>
      <c r="M278" t="s">
        <v>27</v>
      </c>
      <c r="N278" t="s">
        <v>1422</v>
      </c>
      <c r="O278" t="s">
        <v>29</v>
      </c>
      <c r="P278" t="s">
        <v>39</v>
      </c>
      <c r="Q278" t="s">
        <v>1423</v>
      </c>
      <c r="R278">
        <v>1837.15</v>
      </c>
      <c r="S278">
        <v>7</v>
      </c>
      <c r="T278">
        <v>0</v>
      </c>
      <c r="U278">
        <v>440.25</v>
      </c>
    </row>
    <row r="279" spans="1:21" x14ac:dyDescent="0.35">
      <c r="A279" t="s">
        <v>1424</v>
      </c>
      <c r="B279" s="2">
        <v>42764</v>
      </c>
      <c r="C279" s="2" t="str">
        <f t="shared" si="8"/>
        <v>January</v>
      </c>
      <c r="D279" s="2" t="str">
        <f t="shared" si="9"/>
        <v>2017</v>
      </c>
      <c r="E279" s="2">
        <v>42888</v>
      </c>
      <c r="F279" t="s">
        <v>42</v>
      </c>
      <c r="G279" t="s">
        <v>1425</v>
      </c>
      <c r="H279" t="s">
        <v>1426</v>
      </c>
      <c r="I279" t="s">
        <v>55</v>
      </c>
      <c r="J279" t="s">
        <v>24</v>
      </c>
      <c r="K279" t="s">
        <v>25</v>
      </c>
      <c r="L279" t="s">
        <v>65</v>
      </c>
      <c r="M279" t="s">
        <v>74</v>
      </c>
      <c r="N279" t="s">
        <v>1427</v>
      </c>
      <c r="O279" t="s">
        <v>29</v>
      </c>
      <c r="P279" t="s">
        <v>155</v>
      </c>
      <c r="Q279" t="s">
        <v>1428</v>
      </c>
      <c r="R279">
        <v>1340.63</v>
      </c>
      <c r="S279">
        <v>4</v>
      </c>
      <c r="T279">
        <v>0.3</v>
      </c>
      <c r="U279">
        <v>162.35</v>
      </c>
    </row>
    <row r="280" spans="1:21" x14ac:dyDescent="0.35">
      <c r="A280" t="s">
        <v>1429</v>
      </c>
      <c r="B280" s="2">
        <v>42617</v>
      </c>
      <c r="C280" s="2" t="str">
        <f t="shared" si="8"/>
        <v>September</v>
      </c>
      <c r="D280" s="2" t="str">
        <f t="shared" si="9"/>
        <v>2016</v>
      </c>
      <c r="E280" s="2">
        <v>42683</v>
      </c>
      <c r="F280" t="s">
        <v>52</v>
      </c>
      <c r="G280" t="s">
        <v>1430</v>
      </c>
      <c r="H280" t="s">
        <v>1431</v>
      </c>
      <c r="I280" t="s">
        <v>55</v>
      </c>
      <c r="J280" t="s">
        <v>24</v>
      </c>
      <c r="K280" t="s">
        <v>45</v>
      </c>
      <c r="L280" t="s">
        <v>82</v>
      </c>
      <c r="M280" t="s">
        <v>74</v>
      </c>
      <c r="N280" t="s">
        <v>1432</v>
      </c>
      <c r="O280" t="s">
        <v>48</v>
      </c>
      <c r="P280" t="s">
        <v>59</v>
      </c>
      <c r="Q280" t="s">
        <v>1433</v>
      </c>
      <c r="R280">
        <v>1954.31</v>
      </c>
      <c r="S280">
        <v>10</v>
      </c>
      <c r="T280">
        <v>0</v>
      </c>
      <c r="U280">
        <v>685.91</v>
      </c>
    </row>
    <row r="281" spans="1:21" x14ac:dyDescent="0.35">
      <c r="A281" t="s">
        <v>1434</v>
      </c>
      <c r="B281" s="2">
        <v>43332</v>
      </c>
      <c r="C281" s="2" t="str">
        <f t="shared" si="8"/>
        <v>August</v>
      </c>
      <c r="D281" s="2" t="str">
        <f t="shared" si="9"/>
        <v>2018</v>
      </c>
      <c r="E281" s="2" t="s">
        <v>6068</v>
      </c>
      <c r="F281" t="s">
        <v>52</v>
      </c>
      <c r="G281" t="s">
        <v>1435</v>
      </c>
      <c r="H281" t="s">
        <v>1436</v>
      </c>
      <c r="I281" t="s">
        <v>35</v>
      </c>
      <c r="J281" t="s">
        <v>24</v>
      </c>
      <c r="K281" t="s">
        <v>25</v>
      </c>
      <c r="L281" t="s">
        <v>26</v>
      </c>
      <c r="M281" t="s">
        <v>27</v>
      </c>
      <c r="N281" t="s">
        <v>1437</v>
      </c>
      <c r="O281" t="s">
        <v>29</v>
      </c>
      <c r="P281" t="s">
        <v>155</v>
      </c>
      <c r="Q281" t="s">
        <v>1438</v>
      </c>
      <c r="R281">
        <v>1308.97</v>
      </c>
      <c r="S281">
        <v>9</v>
      </c>
      <c r="T281">
        <v>0.3</v>
      </c>
      <c r="U281">
        <v>-256.47000000000003</v>
      </c>
    </row>
    <row r="282" spans="1:21" x14ac:dyDescent="0.35">
      <c r="A282" t="s">
        <v>1439</v>
      </c>
      <c r="B282" s="2">
        <v>43101</v>
      </c>
      <c r="C282" s="2" t="str">
        <f t="shared" si="8"/>
        <v>January</v>
      </c>
      <c r="D282" s="2" t="str">
        <f t="shared" si="9"/>
        <v>2018</v>
      </c>
      <c r="E282" s="2">
        <v>43374</v>
      </c>
      <c r="F282" t="s">
        <v>62</v>
      </c>
      <c r="G282" t="s">
        <v>1440</v>
      </c>
      <c r="H282" t="s">
        <v>1441</v>
      </c>
      <c r="I282" t="s">
        <v>35</v>
      </c>
      <c r="J282" t="s">
        <v>24</v>
      </c>
      <c r="K282" t="s">
        <v>103</v>
      </c>
      <c r="L282" t="s">
        <v>115</v>
      </c>
      <c r="M282" t="s">
        <v>57</v>
      </c>
      <c r="N282" t="s">
        <v>1442</v>
      </c>
      <c r="O282" t="s">
        <v>67</v>
      </c>
      <c r="P282" t="s">
        <v>350</v>
      </c>
      <c r="Q282" t="s">
        <v>1443</v>
      </c>
      <c r="R282">
        <v>1644.06</v>
      </c>
      <c r="S282">
        <v>4</v>
      </c>
      <c r="T282">
        <v>0</v>
      </c>
      <c r="U282">
        <v>188.53</v>
      </c>
    </row>
    <row r="283" spans="1:21" x14ac:dyDescent="0.35">
      <c r="A283" t="s">
        <v>1444</v>
      </c>
      <c r="B283" s="2">
        <v>42455</v>
      </c>
      <c r="C283" s="2" t="str">
        <f t="shared" si="8"/>
        <v>March</v>
      </c>
      <c r="D283" s="2" t="str">
        <f t="shared" si="9"/>
        <v>2016</v>
      </c>
      <c r="E283" s="2" t="s">
        <v>6046</v>
      </c>
      <c r="F283" t="s">
        <v>52</v>
      </c>
      <c r="G283" t="s">
        <v>1445</v>
      </c>
      <c r="H283" t="s">
        <v>1446</v>
      </c>
      <c r="I283" t="s">
        <v>35</v>
      </c>
      <c r="J283" t="s">
        <v>24</v>
      </c>
      <c r="K283" t="s">
        <v>81</v>
      </c>
      <c r="L283" t="s">
        <v>82</v>
      </c>
      <c r="M283" t="s">
        <v>83</v>
      </c>
      <c r="N283" t="s">
        <v>1447</v>
      </c>
      <c r="O283" t="s">
        <v>48</v>
      </c>
      <c r="P283" t="s">
        <v>49</v>
      </c>
      <c r="Q283" t="s">
        <v>1448</v>
      </c>
      <c r="R283">
        <v>1707.62</v>
      </c>
      <c r="S283">
        <v>9</v>
      </c>
      <c r="T283">
        <v>0.3</v>
      </c>
      <c r="U283">
        <v>-486.67</v>
      </c>
    </row>
    <row r="284" spans="1:21" x14ac:dyDescent="0.35">
      <c r="A284" t="s">
        <v>1449</v>
      </c>
      <c r="B284" s="2">
        <v>43405</v>
      </c>
      <c r="C284" s="2" t="str">
        <f t="shared" si="8"/>
        <v>November</v>
      </c>
      <c r="D284" s="2" t="str">
        <f t="shared" si="9"/>
        <v>2018</v>
      </c>
      <c r="E284" s="2">
        <v>43384</v>
      </c>
      <c r="F284" t="s">
        <v>42</v>
      </c>
      <c r="G284" t="s">
        <v>1450</v>
      </c>
      <c r="H284" t="s">
        <v>1451</v>
      </c>
      <c r="I284" t="s">
        <v>55</v>
      </c>
      <c r="J284" t="s">
        <v>24</v>
      </c>
      <c r="K284" t="s">
        <v>89</v>
      </c>
      <c r="L284" t="s">
        <v>46</v>
      </c>
      <c r="M284" t="s">
        <v>83</v>
      </c>
      <c r="N284" t="s">
        <v>1452</v>
      </c>
      <c r="O284" t="s">
        <v>67</v>
      </c>
      <c r="P284" t="s">
        <v>229</v>
      </c>
      <c r="Q284" t="s">
        <v>732</v>
      </c>
      <c r="R284">
        <v>368.23</v>
      </c>
      <c r="S284">
        <v>5</v>
      </c>
      <c r="T284">
        <v>0</v>
      </c>
      <c r="U284">
        <v>-9.9700000000000006</v>
      </c>
    </row>
    <row r="285" spans="1:21" x14ac:dyDescent="0.35">
      <c r="A285" t="s">
        <v>1453</v>
      </c>
      <c r="B285" s="2">
        <v>42399</v>
      </c>
      <c r="C285" s="2" t="str">
        <f t="shared" si="8"/>
        <v>January</v>
      </c>
      <c r="D285" s="2" t="str">
        <f t="shared" si="9"/>
        <v>2016</v>
      </c>
      <c r="E285" s="2">
        <v>42462</v>
      </c>
      <c r="F285" t="s">
        <v>62</v>
      </c>
      <c r="G285" t="s">
        <v>1454</v>
      </c>
      <c r="H285" t="s">
        <v>1455</v>
      </c>
      <c r="I285" t="s">
        <v>35</v>
      </c>
      <c r="J285" t="s">
        <v>24</v>
      </c>
      <c r="K285" t="s">
        <v>45</v>
      </c>
      <c r="L285" t="s">
        <v>65</v>
      </c>
      <c r="M285" t="s">
        <v>27</v>
      </c>
      <c r="N285" t="s">
        <v>1456</v>
      </c>
      <c r="O285" t="s">
        <v>29</v>
      </c>
      <c r="P285" t="s">
        <v>110</v>
      </c>
      <c r="Q285" t="s">
        <v>1457</v>
      </c>
      <c r="R285">
        <v>1312.91</v>
      </c>
      <c r="S285">
        <v>5</v>
      </c>
      <c r="T285">
        <v>0</v>
      </c>
      <c r="U285">
        <v>139.86000000000001</v>
      </c>
    </row>
    <row r="286" spans="1:21" x14ac:dyDescent="0.35">
      <c r="A286" t="s">
        <v>1458</v>
      </c>
      <c r="B286" s="2">
        <v>42843</v>
      </c>
      <c r="C286" s="2" t="str">
        <f t="shared" si="8"/>
        <v>April</v>
      </c>
      <c r="D286" s="2" t="str">
        <f t="shared" si="9"/>
        <v>2017</v>
      </c>
      <c r="E286" s="2" t="s">
        <v>6109</v>
      </c>
      <c r="F286" t="s">
        <v>62</v>
      </c>
      <c r="G286" t="s">
        <v>1459</v>
      </c>
      <c r="H286" t="s">
        <v>1460</v>
      </c>
      <c r="I286" t="s">
        <v>23</v>
      </c>
      <c r="J286" t="s">
        <v>24</v>
      </c>
      <c r="K286" t="s">
        <v>103</v>
      </c>
      <c r="L286" t="s">
        <v>56</v>
      </c>
      <c r="M286" t="s">
        <v>57</v>
      </c>
      <c r="N286" t="s">
        <v>1461</v>
      </c>
      <c r="O286" t="s">
        <v>29</v>
      </c>
      <c r="P286" t="s">
        <v>39</v>
      </c>
      <c r="Q286" t="s">
        <v>1462</v>
      </c>
      <c r="R286">
        <v>700.72</v>
      </c>
      <c r="S286">
        <v>10</v>
      </c>
      <c r="T286">
        <v>0.3</v>
      </c>
      <c r="U286">
        <v>168.46</v>
      </c>
    </row>
    <row r="287" spans="1:21" x14ac:dyDescent="0.35">
      <c r="A287" t="s">
        <v>1463</v>
      </c>
      <c r="B287" s="2">
        <v>43429</v>
      </c>
      <c r="C287" s="2" t="str">
        <f t="shared" si="8"/>
        <v>November</v>
      </c>
      <c r="D287" s="2" t="str">
        <f t="shared" si="9"/>
        <v>2018</v>
      </c>
      <c r="E287" s="2" t="s">
        <v>6258</v>
      </c>
      <c r="F287" t="s">
        <v>52</v>
      </c>
      <c r="G287" t="s">
        <v>1464</v>
      </c>
      <c r="H287" t="s">
        <v>1465</v>
      </c>
      <c r="I287" t="s">
        <v>35</v>
      </c>
      <c r="J287" t="s">
        <v>24</v>
      </c>
      <c r="K287" t="s">
        <v>25</v>
      </c>
      <c r="L287" t="s">
        <v>56</v>
      </c>
      <c r="M287" t="s">
        <v>74</v>
      </c>
      <c r="N287" t="s">
        <v>1466</v>
      </c>
      <c r="O287" t="s">
        <v>29</v>
      </c>
      <c r="P287" t="s">
        <v>39</v>
      </c>
      <c r="Q287" t="s">
        <v>1467</v>
      </c>
      <c r="R287">
        <v>1360.49</v>
      </c>
      <c r="S287">
        <v>5</v>
      </c>
      <c r="T287">
        <v>0.4</v>
      </c>
      <c r="U287">
        <v>9.19</v>
      </c>
    </row>
    <row r="288" spans="1:21" x14ac:dyDescent="0.35">
      <c r="A288" t="s">
        <v>1468</v>
      </c>
      <c r="B288" s="2">
        <v>42550</v>
      </c>
      <c r="C288" s="2" t="str">
        <f t="shared" si="8"/>
        <v>June</v>
      </c>
      <c r="D288" s="2" t="str">
        <f t="shared" si="9"/>
        <v>2016</v>
      </c>
      <c r="E288" s="2">
        <v>42436</v>
      </c>
      <c r="F288" t="s">
        <v>62</v>
      </c>
      <c r="G288" t="s">
        <v>1469</v>
      </c>
      <c r="H288" t="s">
        <v>1470</v>
      </c>
      <c r="I288" t="s">
        <v>35</v>
      </c>
      <c r="J288" t="s">
        <v>24</v>
      </c>
      <c r="K288" t="s">
        <v>97</v>
      </c>
      <c r="L288" t="s">
        <v>37</v>
      </c>
      <c r="M288" t="s">
        <v>27</v>
      </c>
      <c r="N288" t="s">
        <v>1471</v>
      </c>
      <c r="O288" t="s">
        <v>29</v>
      </c>
      <c r="P288" t="s">
        <v>110</v>
      </c>
      <c r="Q288" t="s">
        <v>1472</v>
      </c>
      <c r="R288">
        <v>898.63</v>
      </c>
      <c r="S288">
        <v>8</v>
      </c>
      <c r="T288">
        <v>0</v>
      </c>
      <c r="U288">
        <v>371.29</v>
      </c>
    </row>
    <row r="289" spans="1:21" x14ac:dyDescent="0.35">
      <c r="A289" t="s">
        <v>1473</v>
      </c>
      <c r="B289" s="2">
        <v>43621</v>
      </c>
      <c r="C289" s="2" t="str">
        <f t="shared" si="8"/>
        <v>June</v>
      </c>
      <c r="D289" s="2" t="str">
        <f t="shared" si="9"/>
        <v>2019</v>
      </c>
      <c r="E289" s="2">
        <v>43652</v>
      </c>
      <c r="F289" t="s">
        <v>20</v>
      </c>
      <c r="G289" t="s">
        <v>1474</v>
      </c>
      <c r="H289" t="s">
        <v>1475</v>
      </c>
      <c r="I289" t="s">
        <v>35</v>
      </c>
      <c r="J289" t="s">
        <v>24</v>
      </c>
      <c r="K289" t="s">
        <v>212</v>
      </c>
      <c r="L289" t="s">
        <v>36</v>
      </c>
      <c r="M289" t="s">
        <v>83</v>
      </c>
      <c r="N289" t="s">
        <v>1476</v>
      </c>
      <c r="O289" t="s">
        <v>48</v>
      </c>
      <c r="P289" t="s">
        <v>128</v>
      </c>
      <c r="Q289" t="s">
        <v>1477</v>
      </c>
      <c r="R289">
        <v>674.11</v>
      </c>
      <c r="S289">
        <v>4</v>
      </c>
      <c r="T289">
        <v>0</v>
      </c>
      <c r="U289">
        <v>204.28</v>
      </c>
    </row>
    <row r="290" spans="1:21" x14ac:dyDescent="0.35">
      <c r="A290" t="s">
        <v>1478</v>
      </c>
      <c r="B290" s="2">
        <v>42917</v>
      </c>
      <c r="C290" s="2" t="str">
        <f t="shared" si="8"/>
        <v>July</v>
      </c>
      <c r="D290" s="2" t="str">
        <f t="shared" si="9"/>
        <v>2017</v>
      </c>
      <c r="E290" s="2">
        <v>42862</v>
      </c>
      <c r="F290" t="s">
        <v>52</v>
      </c>
      <c r="G290" t="s">
        <v>1479</v>
      </c>
      <c r="H290" t="s">
        <v>1480</v>
      </c>
      <c r="I290" t="s">
        <v>55</v>
      </c>
      <c r="J290" t="s">
        <v>24</v>
      </c>
      <c r="K290" t="s">
        <v>97</v>
      </c>
      <c r="L290" t="s">
        <v>37</v>
      </c>
      <c r="M290" t="s">
        <v>83</v>
      </c>
      <c r="N290" t="s">
        <v>1481</v>
      </c>
      <c r="O290" t="s">
        <v>29</v>
      </c>
      <c r="P290" t="s">
        <v>39</v>
      </c>
      <c r="Q290" t="s">
        <v>1482</v>
      </c>
      <c r="R290">
        <v>930.21</v>
      </c>
      <c r="S290">
        <v>1</v>
      </c>
      <c r="T290">
        <v>0</v>
      </c>
      <c r="U290">
        <v>372.09</v>
      </c>
    </row>
    <row r="291" spans="1:21" x14ac:dyDescent="0.35">
      <c r="A291" t="s">
        <v>1483</v>
      </c>
      <c r="B291" s="2">
        <v>43083</v>
      </c>
      <c r="C291" s="2" t="str">
        <f t="shared" si="8"/>
        <v>December</v>
      </c>
      <c r="D291" s="2" t="str">
        <f t="shared" si="9"/>
        <v>2017</v>
      </c>
      <c r="E291" s="2" t="s">
        <v>6212</v>
      </c>
      <c r="F291" t="s">
        <v>20</v>
      </c>
      <c r="G291" t="s">
        <v>1484</v>
      </c>
      <c r="H291" t="s">
        <v>1485</v>
      </c>
      <c r="I291" t="s">
        <v>23</v>
      </c>
      <c r="J291" t="s">
        <v>24</v>
      </c>
      <c r="K291" t="s">
        <v>212</v>
      </c>
      <c r="L291" t="s">
        <v>37</v>
      </c>
      <c r="M291" t="s">
        <v>27</v>
      </c>
      <c r="N291" t="s">
        <v>1486</v>
      </c>
      <c r="O291" t="s">
        <v>29</v>
      </c>
      <c r="P291" t="s">
        <v>39</v>
      </c>
      <c r="Q291" t="s">
        <v>1487</v>
      </c>
      <c r="R291">
        <v>1297.43</v>
      </c>
      <c r="S291">
        <v>6</v>
      </c>
      <c r="T291">
        <v>0.1</v>
      </c>
      <c r="U291">
        <v>-357.97</v>
      </c>
    </row>
    <row r="292" spans="1:21" x14ac:dyDescent="0.35">
      <c r="A292" t="s">
        <v>1488</v>
      </c>
      <c r="B292" s="2">
        <v>42867</v>
      </c>
      <c r="C292" s="2" t="str">
        <f t="shared" si="8"/>
        <v>May</v>
      </c>
      <c r="D292" s="2" t="str">
        <f t="shared" si="9"/>
        <v>2017</v>
      </c>
      <c r="E292" s="2" t="s">
        <v>6082</v>
      </c>
      <c r="F292" t="s">
        <v>20</v>
      </c>
      <c r="G292" t="s">
        <v>1489</v>
      </c>
      <c r="H292" t="s">
        <v>1490</v>
      </c>
      <c r="I292" t="s">
        <v>35</v>
      </c>
      <c r="J292" t="s">
        <v>24</v>
      </c>
      <c r="K292" t="s">
        <v>89</v>
      </c>
      <c r="L292" t="s">
        <v>37</v>
      </c>
      <c r="M292" t="s">
        <v>83</v>
      </c>
      <c r="N292" t="s">
        <v>1491</v>
      </c>
      <c r="O292" t="s">
        <v>29</v>
      </c>
      <c r="P292" t="s">
        <v>30</v>
      </c>
      <c r="Q292" t="s">
        <v>1492</v>
      </c>
      <c r="R292">
        <v>655.43</v>
      </c>
      <c r="S292">
        <v>5</v>
      </c>
      <c r="T292">
        <v>0.2</v>
      </c>
      <c r="U292">
        <v>262.25</v>
      </c>
    </row>
    <row r="293" spans="1:21" x14ac:dyDescent="0.35">
      <c r="A293" t="s">
        <v>1493</v>
      </c>
      <c r="B293" s="2">
        <v>43577</v>
      </c>
      <c r="C293" s="2" t="str">
        <f t="shared" si="8"/>
        <v>April</v>
      </c>
      <c r="D293" s="2" t="str">
        <f t="shared" si="9"/>
        <v>2019</v>
      </c>
      <c r="E293" s="2" t="s">
        <v>6259</v>
      </c>
      <c r="F293" t="s">
        <v>52</v>
      </c>
      <c r="G293" t="s">
        <v>1494</v>
      </c>
      <c r="H293" t="s">
        <v>1495</v>
      </c>
      <c r="I293" t="s">
        <v>55</v>
      </c>
      <c r="J293" t="s">
        <v>24</v>
      </c>
      <c r="K293" t="s">
        <v>36</v>
      </c>
      <c r="L293" t="s">
        <v>170</v>
      </c>
      <c r="M293" t="s">
        <v>57</v>
      </c>
      <c r="N293" t="s">
        <v>1496</v>
      </c>
      <c r="O293" t="s">
        <v>29</v>
      </c>
      <c r="P293" t="s">
        <v>155</v>
      </c>
      <c r="Q293" t="s">
        <v>1497</v>
      </c>
      <c r="R293">
        <v>573.55999999999995</v>
      </c>
      <c r="S293">
        <v>7</v>
      </c>
      <c r="T293">
        <v>0</v>
      </c>
      <c r="U293">
        <v>278.08</v>
      </c>
    </row>
    <row r="294" spans="1:21" x14ac:dyDescent="0.35">
      <c r="A294" t="s">
        <v>1498</v>
      </c>
      <c r="B294" s="2">
        <v>42481</v>
      </c>
      <c r="C294" s="2" t="str">
        <f t="shared" si="8"/>
        <v>April</v>
      </c>
      <c r="D294" s="2" t="str">
        <f t="shared" si="9"/>
        <v>2016</v>
      </c>
      <c r="E294" s="2" t="s">
        <v>6186</v>
      </c>
      <c r="F294" t="s">
        <v>20</v>
      </c>
      <c r="G294" t="s">
        <v>1499</v>
      </c>
      <c r="H294" t="s">
        <v>1500</v>
      </c>
      <c r="I294" t="s">
        <v>23</v>
      </c>
      <c r="J294" t="s">
        <v>24</v>
      </c>
      <c r="K294" t="s">
        <v>212</v>
      </c>
      <c r="L294" t="s">
        <v>46</v>
      </c>
      <c r="M294" t="s">
        <v>27</v>
      </c>
      <c r="N294" t="s">
        <v>1501</v>
      </c>
      <c r="O294" t="s">
        <v>48</v>
      </c>
      <c r="P294" t="s">
        <v>59</v>
      </c>
      <c r="Q294" t="s">
        <v>1502</v>
      </c>
      <c r="R294">
        <v>1367.58</v>
      </c>
      <c r="S294">
        <v>5</v>
      </c>
      <c r="T294">
        <v>0.2</v>
      </c>
      <c r="U294">
        <v>-323.95</v>
      </c>
    </row>
    <row r="295" spans="1:21" x14ac:dyDescent="0.35">
      <c r="A295" t="s">
        <v>1503</v>
      </c>
      <c r="B295" s="2">
        <v>43460</v>
      </c>
      <c r="C295" s="2" t="str">
        <f t="shared" si="8"/>
        <v>December</v>
      </c>
      <c r="D295" s="2" t="str">
        <f t="shared" si="9"/>
        <v>2018</v>
      </c>
      <c r="E295" s="2" t="s">
        <v>6233</v>
      </c>
      <c r="F295" t="s">
        <v>20</v>
      </c>
      <c r="G295" t="s">
        <v>1504</v>
      </c>
      <c r="H295" t="s">
        <v>1505</v>
      </c>
      <c r="I295" t="s">
        <v>35</v>
      </c>
      <c r="J295" t="s">
        <v>24</v>
      </c>
      <c r="K295" t="s">
        <v>97</v>
      </c>
      <c r="L295" t="s">
        <v>26</v>
      </c>
      <c r="M295" t="s">
        <v>27</v>
      </c>
      <c r="N295" t="s">
        <v>1506</v>
      </c>
      <c r="O295" t="s">
        <v>67</v>
      </c>
      <c r="P295" t="s">
        <v>197</v>
      </c>
      <c r="Q295" t="s">
        <v>1507</v>
      </c>
      <c r="R295">
        <v>785.2</v>
      </c>
      <c r="S295">
        <v>8</v>
      </c>
      <c r="T295">
        <v>0.1</v>
      </c>
      <c r="U295">
        <v>153.88</v>
      </c>
    </row>
    <row r="296" spans="1:21" x14ac:dyDescent="0.35">
      <c r="A296" t="s">
        <v>1508</v>
      </c>
      <c r="B296" s="2">
        <v>42929</v>
      </c>
      <c r="C296" s="2" t="str">
        <f t="shared" si="8"/>
        <v>July</v>
      </c>
      <c r="D296" s="2" t="str">
        <f t="shared" si="9"/>
        <v>2017</v>
      </c>
      <c r="E296" s="2" t="s">
        <v>6260</v>
      </c>
      <c r="F296" t="s">
        <v>20</v>
      </c>
      <c r="G296" t="s">
        <v>1509</v>
      </c>
      <c r="H296" t="s">
        <v>1510</v>
      </c>
      <c r="I296" t="s">
        <v>23</v>
      </c>
      <c r="J296" t="s">
        <v>24</v>
      </c>
      <c r="K296" t="s">
        <v>89</v>
      </c>
      <c r="L296" t="s">
        <v>65</v>
      </c>
      <c r="M296" t="s">
        <v>27</v>
      </c>
      <c r="N296" t="s">
        <v>1511</v>
      </c>
      <c r="O296" t="s">
        <v>29</v>
      </c>
      <c r="P296" t="s">
        <v>39</v>
      </c>
      <c r="Q296" t="s">
        <v>1512</v>
      </c>
      <c r="R296">
        <v>1893.1</v>
      </c>
      <c r="S296">
        <v>4</v>
      </c>
      <c r="T296">
        <v>0.4</v>
      </c>
      <c r="U296">
        <v>-511.22</v>
      </c>
    </row>
    <row r="297" spans="1:21" x14ac:dyDescent="0.35">
      <c r="A297" t="s">
        <v>1513</v>
      </c>
      <c r="B297" s="2">
        <v>42870</v>
      </c>
      <c r="C297" s="2" t="str">
        <f t="shared" si="8"/>
        <v>May</v>
      </c>
      <c r="D297" s="2" t="str">
        <f t="shared" si="9"/>
        <v>2017</v>
      </c>
      <c r="E297" s="2" t="s">
        <v>6049</v>
      </c>
      <c r="F297" t="s">
        <v>42</v>
      </c>
      <c r="G297" t="s">
        <v>1514</v>
      </c>
      <c r="H297" t="s">
        <v>1515</v>
      </c>
      <c r="I297" t="s">
        <v>23</v>
      </c>
      <c r="J297" t="s">
        <v>24</v>
      </c>
      <c r="K297" t="s">
        <v>45</v>
      </c>
      <c r="L297" t="s">
        <v>37</v>
      </c>
      <c r="M297" t="s">
        <v>57</v>
      </c>
      <c r="N297" t="s">
        <v>1516</v>
      </c>
      <c r="O297" t="s">
        <v>67</v>
      </c>
      <c r="P297" t="s">
        <v>92</v>
      </c>
      <c r="Q297" t="s">
        <v>1517</v>
      </c>
      <c r="R297">
        <v>87.37</v>
      </c>
      <c r="S297">
        <v>5</v>
      </c>
      <c r="T297">
        <v>0</v>
      </c>
      <c r="U297">
        <v>-12.04</v>
      </c>
    </row>
    <row r="298" spans="1:21" x14ac:dyDescent="0.35">
      <c r="A298" t="s">
        <v>1518</v>
      </c>
      <c r="B298" s="2">
        <v>42493</v>
      </c>
      <c r="C298" s="2" t="str">
        <f t="shared" si="8"/>
        <v>May</v>
      </c>
      <c r="D298" s="2" t="str">
        <f t="shared" si="9"/>
        <v>2016</v>
      </c>
      <c r="E298" s="2">
        <v>42679</v>
      </c>
      <c r="F298" t="s">
        <v>42</v>
      </c>
      <c r="G298" t="s">
        <v>1519</v>
      </c>
      <c r="H298" t="s">
        <v>1388</v>
      </c>
      <c r="I298" t="s">
        <v>35</v>
      </c>
      <c r="J298" t="s">
        <v>24</v>
      </c>
      <c r="K298" t="s">
        <v>97</v>
      </c>
      <c r="L298" t="s">
        <v>115</v>
      </c>
      <c r="M298" t="s">
        <v>27</v>
      </c>
      <c r="N298" t="s">
        <v>1520</v>
      </c>
      <c r="O298" t="s">
        <v>48</v>
      </c>
      <c r="P298" t="s">
        <v>76</v>
      </c>
      <c r="Q298" t="s">
        <v>1521</v>
      </c>
      <c r="R298">
        <v>506.34</v>
      </c>
      <c r="S298">
        <v>6</v>
      </c>
      <c r="T298">
        <v>0</v>
      </c>
      <c r="U298">
        <v>189.84</v>
      </c>
    </row>
    <row r="299" spans="1:21" x14ac:dyDescent="0.35">
      <c r="A299" t="s">
        <v>1522</v>
      </c>
      <c r="B299" s="2">
        <v>42829</v>
      </c>
      <c r="C299" s="2" t="str">
        <f t="shared" si="8"/>
        <v>April</v>
      </c>
      <c r="D299" s="2" t="str">
        <f t="shared" si="9"/>
        <v>2017</v>
      </c>
      <c r="E299" s="2" t="s">
        <v>6061</v>
      </c>
      <c r="F299" t="s">
        <v>42</v>
      </c>
      <c r="G299" t="s">
        <v>1523</v>
      </c>
      <c r="H299" t="s">
        <v>1524</v>
      </c>
      <c r="I299" t="s">
        <v>55</v>
      </c>
      <c r="J299" t="s">
        <v>24</v>
      </c>
      <c r="K299" t="s">
        <v>212</v>
      </c>
      <c r="L299" t="s">
        <v>170</v>
      </c>
      <c r="M299" t="s">
        <v>74</v>
      </c>
      <c r="N299" t="s">
        <v>1525</v>
      </c>
      <c r="O299" t="s">
        <v>67</v>
      </c>
      <c r="P299" t="s">
        <v>350</v>
      </c>
      <c r="Q299" t="s">
        <v>1526</v>
      </c>
      <c r="R299">
        <v>888.32</v>
      </c>
      <c r="S299">
        <v>4</v>
      </c>
      <c r="T299">
        <v>0</v>
      </c>
      <c r="U299">
        <v>-93.15</v>
      </c>
    </row>
    <row r="300" spans="1:21" x14ac:dyDescent="0.35">
      <c r="A300" t="s">
        <v>1527</v>
      </c>
      <c r="B300" s="2">
        <v>43311</v>
      </c>
      <c r="C300" s="2" t="str">
        <f t="shared" si="8"/>
        <v>July</v>
      </c>
      <c r="D300" s="2" t="str">
        <f t="shared" si="9"/>
        <v>2018</v>
      </c>
      <c r="E300" s="2">
        <v>43139</v>
      </c>
      <c r="F300" t="s">
        <v>42</v>
      </c>
      <c r="G300" t="s">
        <v>1528</v>
      </c>
      <c r="H300" t="s">
        <v>1529</v>
      </c>
      <c r="I300" t="s">
        <v>35</v>
      </c>
      <c r="J300" t="s">
        <v>24</v>
      </c>
      <c r="K300" t="s">
        <v>45</v>
      </c>
      <c r="L300" t="s">
        <v>170</v>
      </c>
      <c r="M300" t="s">
        <v>74</v>
      </c>
      <c r="N300" t="s">
        <v>1530</v>
      </c>
      <c r="O300" t="s">
        <v>67</v>
      </c>
      <c r="P300" t="s">
        <v>92</v>
      </c>
      <c r="Q300" t="s">
        <v>1531</v>
      </c>
      <c r="R300">
        <v>388.73</v>
      </c>
      <c r="S300">
        <v>8</v>
      </c>
      <c r="T300">
        <v>0</v>
      </c>
      <c r="U300">
        <v>50.39</v>
      </c>
    </row>
    <row r="301" spans="1:21" x14ac:dyDescent="0.35">
      <c r="A301" t="s">
        <v>1532</v>
      </c>
      <c r="B301" s="2">
        <v>43065</v>
      </c>
      <c r="C301" s="2" t="str">
        <f t="shared" si="8"/>
        <v>November</v>
      </c>
      <c r="D301" s="2" t="str">
        <f t="shared" si="9"/>
        <v>2017</v>
      </c>
      <c r="E301" s="2">
        <v>42778</v>
      </c>
      <c r="F301" t="s">
        <v>42</v>
      </c>
      <c r="G301" t="s">
        <v>1533</v>
      </c>
      <c r="H301" t="s">
        <v>1534</v>
      </c>
      <c r="I301" t="s">
        <v>55</v>
      </c>
      <c r="J301" t="s">
        <v>24</v>
      </c>
      <c r="K301" t="s">
        <v>212</v>
      </c>
      <c r="L301" t="s">
        <v>65</v>
      </c>
      <c r="M301" t="s">
        <v>57</v>
      </c>
      <c r="N301" t="s">
        <v>1535</v>
      </c>
      <c r="O301" t="s">
        <v>48</v>
      </c>
      <c r="P301" t="s">
        <v>76</v>
      </c>
      <c r="Q301" t="s">
        <v>1536</v>
      </c>
      <c r="R301">
        <v>57.24</v>
      </c>
      <c r="S301">
        <v>1</v>
      </c>
      <c r="T301">
        <v>0.3</v>
      </c>
      <c r="U301">
        <v>3.56</v>
      </c>
    </row>
    <row r="302" spans="1:21" x14ac:dyDescent="0.35">
      <c r="A302" t="s">
        <v>1537</v>
      </c>
      <c r="B302" s="2">
        <v>43313</v>
      </c>
      <c r="C302" s="2" t="str">
        <f t="shared" si="8"/>
        <v>August</v>
      </c>
      <c r="D302" s="2" t="str">
        <f t="shared" si="9"/>
        <v>2018</v>
      </c>
      <c r="E302" s="2">
        <v>43259</v>
      </c>
      <c r="F302" t="s">
        <v>42</v>
      </c>
      <c r="G302" t="s">
        <v>1538</v>
      </c>
      <c r="H302" t="s">
        <v>1539</v>
      </c>
      <c r="I302" t="s">
        <v>55</v>
      </c>
      <c r="J302" t="s">
        <v>24</v>
      </c>
      <c r="K302" t="s">
        <v>81</v>
      </c>
      <c r="L302" t="s">
        <v>46</v>
      </c>
      <c r="M302" t="s">
        <v>83</v>
      </c>
      <c r="N302" t="s">
        <v>1540</v>
      </c>
      <c r="O302" t="s">
        <v>67</v>
      </c>
      <c r="P302" t="s">
        <v>197</v>
      </c>
      <c r="Q302" t="s">
        <v>1541</v>
      </c>
      <c r="R302">
        <v>452.74</v>
      </c>
      <c r="S302">
        <v>4</v>
      </c>
      <c r="T302">
        <v>0</v>
      </c>
      <c r="U302">
        <v>141.08000000000001</v>
      </c>
    </row>
    <row r="303" spans="1:21" x14ac:dyDescent="0.35">
      <c r="A303" t="s">
        <v>1542</v>
      </c>
      <c r="B303" s="2">
        <v>43106</v>
      </c>
      <c r="C303" s="2" t="str">
        <f t="shared" si="8"/>
        <v>January</v>
      </c>
      <c r="D303" s="2" t="str">
        <f t="shared" si="9"/>
        <v>2018</v>
      </c>
      <c r="E303" s="2">
        <v>43282</v>
      </c>
      <c r="F303" t="s">
        <v>52</v>
      </c>
      <c r="G303" t="s">
        <v>1543</v>
      </c>
      <c r="H303" t="s">
        <v>1544</v>
      </c>
      <c r="I303" t="s">
        <v>55</v>
      </c>
      <c r="J303" t="s">
        <v>24</v>
      </c>
      <c r="K303" t="s">
        <v>133</v>
      </c>
      <c r="L303" t="s">
        <v>82</v>
      </c>
      <c r="M303" t="s">
        <v>27</v>
      </c>
      <c r="N303" t="s">
        <v>1545</v>
      </c>
      <c r="O303" t="s">
        <v>48</v>
      </c>
      <c r="P303" t="s">
        <v>128</v>
      </c>
      <c r="Q303" t="s">
        <v>1546</v>
      </c>
      <c r="R303">
        <v>1075.3599999999999</v>
      </c>
      <c r="S303">
        <v>9</v>
      </c>
      <c r="T303">
        <v>0.4</v>
      </c>
      <c r="U303">
        <v>-272.51</v>
      </c>
    </row>
    <row r="304" spans="1:21" x14ac:dyDescent="0.35">
      <c r="A304" t="s">
        <v>1547</v>
      </c>
      <c r="B304" s="2">
        <v>43795</v>
      </c>
      <c r="C304" s="2" t="str">
        <f t="shared" si="8"/>
        <v>November</v>
      </c>
      <c r="D304" s="2" t="str">
        <f t="shared" si="9"/>
        <v>2019</v>
      </c>
      <c r="E304" s="2">
        <v>43508</v>
      </c>
      <c r="F304" t="s">
        <v>20</v>
      </c>
      <c r="G304" t="s">
        <v>1548</v>
      </c>
      <c r="H304" t="s">
        <v>1058</v>
      </c>
      <c r="I304" t="s">
        <v>23</v>
      </c>
      <c r="J304" t="s">
        <v>24</v>
      </c>
      <c r="K304" t="s">
        <v>45</v>
      </c>
      <c r="L304" t="s">
        <v>82</v>
      </c>
      <c r="M304" t="s">
        <v>27</v>
      </c>
      <c r="N304" t="s">
        <v>1549</v>
      </c>
      <c r="O304" t="s">
        <v>29</v>
      </c>
      <c r="P304" t="s">
        <v>30</v>
      </c>
      <c r="Q304" t="s">
        <v>1550</v>
      </c>
      <c r="R304">
        <v>1559.42</v>
      </c>
      <c r="S304">
        <v>5</v>
      </c>
      <c r="T304">
        <v>0</v>
      </c>
      <c r="U304">
        <v>-394.03</v>
      </c>
    </row>
    <row r="305" spans="1:21" x14ac:dyDescent="0.35">
      <c r="A305" t="s">
        <v>1551</v>
      </c>
      <c r="B305" s="2">
        <v>43646</v>
      </c>
      <c r="C305" s="2" t="str">
        <f t="shared" si="8"/>
        <v>June</v>
      </c>
      <c r="D305" s="2" t="str">
        <f t="shared" si="9"/>
        <v>2019</v>
      </c>
      <c r="E305" s="2">
        <v>43684</v>
      </c>
      <c r="F305" t="s">
        <v>52</v>
      </c>
      <c r="G305" t="s">
        <v>1552</v>
      </c>
      <c r="H305" t="s">
        <v>1553</v>
      </c>
      <c r="I305" t="s">
        <v>35</v>
      </c>
      <c r="J305" t="s">
        <v>24</v>
      </c>
      <c r="K305" t="s">
        <v>25</v>
      </c>
      <c r="L305" t="s">
        <v>37</v>
      </c>
      <c r="M305" t="s">
        <v>83</v>
      </c>
      <c r="N305" t="s">
        <v>1554</v>
      </c>
      <c r="O305" t="s">
        <v>29</v>
      </c>
      <c r="P305" t="s">
        <v>155</v>
      </c>
      <c r="Q305" t="s">
        <v>1555</v>
      </c>
      <c r="R305">
        <v>1217.53</v>
      </c>
      <c r="S305">
        <v>5</v>
      </c>
      <c r="T305">
        <v>0</v>
      </c>
      <c r="U305">
        <v>-252.94</v>
      </c>
    </row>
    <row r="306" spans="1:21" x14ac:dyDescent="0.35">
      <c r="A306" t="s">
        <v>1556</v>
      </c>
      <c r="B306" s="2">
        <v>43269</v>
      </c>
      <c r="C306" s="2" t="str">
        <f t="shared" si="8"/>
        <v>June</v>
      </c>
      <c r="D306" s="2" t="str">
        <f t="shared" si="9"/>
        <v>2018</v>
      </c>
      <c r="E306" s="2" t="s">
        <v>5964</v>
      </c>
      <c r="F306" t="s">
        <v>20</v>
      </c>
      <c r="G306" t="s">
        <v>1557</v>
      </c>
      <c r="H306" t="s">
        <v>1558</v>
      </c>
      <c r="I306" t="s">
        <v>55</v>
      </c>
      <c r="J306" t="s">
        <v>24</v>
      </c>
      <c r="K306" t="s">
        <v>81</v>
      </c>
      <c r="L306" t="s">
        <v>90</v>
      </c>
      <c r="M306" t="s">
        <v>57</v>
      </c>
      <c r="N306" t="s">
        <v>1559</v>
      </c>
      <c r="O306" t="s">
        <v>29</v>
      </c>
      <c r="P306" t="s">
        <v>30</v>
      </c>
      <c r="Q306" t="s">
        <v>770</v>
      </c>
      <c r="R306">
        <v>467.15</v>
      </c>
      <c r="S306">
        <v>1</v>
      </c>
      <c r="T306">
        <v>0.2</v>
      </c>
      <c r="U306">
        <v>-117.69</v>
      </c>
    </row>
    <row r="307" spans="1:21" x14ac:dyDescent="0.35">
      <c r="A307" t="s">
        <v>1560</v>
      </c>
      <c r="B307" s="2">
        <v>42795</v>
      </c>
      <c r="C307" s="2" t="str">
        <f t="shared" si="8"/>
        <v>March</v>
      </c>
      <c r="D307" s="2" t="str">
        <f t="shared" si="9"/>
        <v>2017</v>
      </c>
      <c r="E307" s="2">
        <v>42950</v>
      </c>
      <c r="F307" t="s">
        <v>20</v>
      </c>
      <c r="G307" t="s">
        <v>1561</v>
      </c>
      <c r="H307" t="s">
        <v>1562</v>
      </c>
      <c r="I307" t="s">
        <v>55</v>
      </c>
      <c r="J307" t="s">
        <v>24</v>
      </c>
      <c r="K307" t="s">
        <v>133</v>
      </c>
      <c r="L307" t="s">
        <v>36</v>
      </c>
      <c r="M307" t="s">
        <v>83</v>
      </c>
      <c r="N307" t="s">
        <v>1563</v>
      </c>
      <c r="O307" t="s">
        <v>67</v>
      </c>
      <c r="P307" t="s">
        <v>350</v>
      </c>
      <c r="Q307" t="s">
        <v>1564</v>
      </c>
      <c r="R307">
        <v>346.01</v>
      </c>
      <c r="S307">
        <v>8</v>
      </c>
      <c r="T307">
        <v>0</v>
      </c>
      <c r="U307">
        <v>-54.11</v>
      </c>
    </row>
    <row r="308" spans="1:21" x14ac:dyDescent="0.35">
      <c r="A308" t="s">
        <v>1565</v>
      </c>
      <c r="B308" s="2">
        <v>43213</v>
      </c>
      <c r="C308" s="2" t="str">
        <f t="shared" si="8"/>
        <v>April</v>
      </c>
      <c r="D308" s="2" t="str">
        <f t="shared" si="9"/>
        <v>2018</v>
      </c>
      <c r="E308" s="2" t="s">
        <v>5958</v>
      </c>
      <c r="F308" t="s">
        <v>20</v>
      </c>
      <c r="G308" t="s">
        <v>1566</v>
      </c>
      <c r="H308" t="s">
        <v>1567</v>
      </c>
      <c r="I308" t="s">
        <v>55</v>
      </c>
      <c r="J308" t="s">
        <v>24</v>
      </c>
      <c r="K308" t="s">
        <v>133</v>
      </c>
      <c r="L308" t="s">
        <v>26</v>
      </c>
      <c r="M308" t="s">
        <v>74</v>
      </c>
      <c r="N308" t="s">
        <v>1568</v>
      </c>
      <c r="O308" t="s">
        <v>29</v>
      </c>
      <c r="P308" t="s">
        <v>110</v>
      </c>
      <c r="Q308" t="s">
        <v>1569</v>
      </c>
      <c r="R308">
        <v>1297.53</v>
      </c>
      <c r="S308">
        <v>6</v>
      </c>
      <c r="T308">
        <v>0.3</v>
      </c>
      <c r="U308">
        <v>479.14</v>
      </c>
    </row>
    <row r="309" spans="1:21" x14ac:dyDescent="0.35">
      <c r="A309" t="s">
        <v>1570</v>
      </c>
      <c r="B309" s="2">
        <v>43601</v>
      </c>
      <c r="C309" s="2" t="str">
        <f t="shared" si="8"/>
        <v>May</v>
      </c>
      <c r="D309" s="2" t="str">
        <f t="shared" si="9"/>
        <v>2019</v>
      </c>
      <c r="E309" s="2" t="s">
        <v>6030</v>
      </c>
      <c r="F309" t="s">
        <v>20</v>
      </c>
      <c r="G309" t="s">
        <v>1571</v>
      </c>
      <c r="H309" t="s">
        <v>1572</v>
      </c>
      <c r="I309" t="s">
        <v>23</v>
      </c>
      <c r="J309" t="s">
        <v>24</v>
      </c>
      <c r="K309" t="s">
        <v>97</v>
      </c>
      <c r="L309" t="s">
        <v>36</v>
      </c>
      <c r="M309" t="s">
        <v>74</v>
      </c>
      <c r="N309" t="s">
        <v>1573</v>
      </c>
      <c r="O309" t="s">
        <v>67</v>
      </c>
      <c r="P309" t="s">
        <v>350</v>
      </c>
      <c r="Q309" t="s">
        <v>1574</v>
      </c>
      <c r="R309">
        <v>817.77</v>
      </c>
      <c r="S309">
        <v>1</v>
      </c>
      <c r="T309">
        <v>0.2</v>
      </c>
      <c r="U309">
        <v>-0.22</v>
      </c>
    </row>
    <row r="310" spans="1:21" x14ac:dyDescent="0.35">
      <c r="A310" t="s">
        <v>1575</v>
      </c>
      <c r="B310" s="2">
        <v>43466</v>
      </c>
      <c r="C310" s="2" t="str">
        <f t="shared" si="8"/>
        <v>January</v>
      </c>
      <c r="D310" s="2" t="str">
        <f t="shared" si="9"/>
        <v>2019</v>
      </c>
      <c r="E310" s="2">
        <v>43497</v>
      </c>
      <c r="F310" t="s">
        <v>42</v>
      </c>
      <c r="G310" t="s">
        <v>1576</v>
      </c>
      <c r="H310" t="s">
        <v>1577</v>
      </c>
      <c r="I310" t="s">
        <v>23</v>
      </c>
      <c r="J310" t="s">
        <v>24</v>
      </c>
      <c r="K310" t="s">
        <v>81</v>
      </c>
      <c r="L310" t="s">
        <v>56</v>
      </c>
      <c r="M310" t="s">
        <v>57</v>
      </c>
      <c r="N310" t="s">
        <v>1578</v>
      </c>
      <c r="O310" t="s">
        <v>48</v>
      </c>
      <c r="P310" t="s">
        <v>128</v>
      </c>
      <c r="Q310" t="s">
        <v>1579</v>
      </c>
      <c r="R310">
        <v>330.16</v>
      </c>
      <c r="S310">
        <v>7</v>
      </c>
      <c r="T310">
        <v>0.2</v>
      </c>
      <c r="U310">
        <v>146.84</v>
      </c>
    </row>
    <row r="311" spans="1:21" x14ac:dyDescent="0.35">
      <c r="A311" t="s">
        <v>1580</v>
      </c>
      <c r="B311" s="2">
        <v>43289</v>
      </c>
      <c r="C311" s="2" t="str">
        <f t="shared" si="8"/>
        <v>July</v>
      </c>
      <c r="D311" s="2" t="str">
        <f t="shared" si="9"/>
        <v>2018</v>
      </c>
      <c r="E311" s="2" t="s">
        <v>5938</v>
      </c>
      <c r="F311" t="s">
        <v>42</v>
      </c>
      <c r="G311" t="s">
        <v>1581</v>
      </c>
      <c r="H311" t="s">
        <v>1582</v>
      </c>
      <c r="I311" t="s">
        <v>35</v>
      </c>
      <c r="J311" t="s">
        <v>24</v>
      </c>
      <c r="K311" t="s">
        <v>73</v>
      </c>
      <c r="L311" t="s">
        <v>36</v>
      </c>
      <c r="M311" t="s">
        <v>83</v>
      </c>
      <c r="N311" t="s">
        <v>1583</v>
      </c>
      <c r="O311" t="s">
        <v>67</v>
      </c>
      <c r="P311" t="s">
        <v>68</v>
      </c>
      <c r="Q311" t="s">
        <v>1584</v>
      </c>
      <c r="R311">
        <v>673.48</v>
      </c>
      <c r="S311">
        <v>8</v>
      </c>
      <c r="T311">
        <v>0.2</v>
      </c>
      <c r="U311">
        <v>59.49</v>
      </c>
    </row>
    <row r="312" spans="1:21" x14ac:dyDescent="0.35">
      <c r="A312" t="s">
        <v>1585</v>
      </c>
      <c r="B312" s="2">
        <v>42568</v>
      </c>
      <c r="C312" s="2" t="str">
        <f t="shared" si="8"/>
        <v>July</v>
      </c>
      <c r="D312" s="2" t="str">
        <f t="shared" si="9"/>
        <v>2016</v>
      </c>
      <c r="E312" s="2" t="s">
        <v>5955</v>
      </c>
      <c r="F312" t="s">
        <v>52</v>
      </c>
      <c r="G312" t="s">
        <v>1586</v>
      </c>
      <c r="H312" t="s">
        <v>1587</v>
      </c>
      <c r="I312" t="s">
        <v>35</v>
      </c>
      <c r="J312" t="s">
        <v>24</v>
      </c>
      <c r="K312" t="s">
        <v>212</v>
      </c>
      <c r="L312" t="s">
        <v>26</v>
      </c>
      <c r="M312" t="s">
        <v>83</v>
      </c>
      <c r="N312" t="s">
        <v>1588</v>
      </c>
      <c r="O312" t="s">
        <v>29</v>
      </c>
      <c r="P312" t="s">
        <v>39</v>
      </c>
      <c r="Q312" t="s">
        <v>1589</v>
      </c>
      <c r="R312">
        <v>99.72</v>
      </c>
      <c r="S312">
        <v>6</v>
      </c>
      <c r="T312">
        <v>0.1</v>
      </c>
      <c r="U312">
        <v>39.47</v>
      </c>
    </row>
    <row r="313" spans="1:21" x14ac:dyDescent="0.35">
      <c r="A313" t="s">
        <v>1590</v>
      </c>
      <c r="B313" s="2">
        <v>43047</v>
      </c>
      <c r="C313" s="2" t="str">
        <f t="shared" si="8"/>
        <v>November</v>
      </c>
      <c r="D313" s="2" t="str">
        <f t="shared" si="9"/>
        <v>2017</v>
      </c>
      <c r="E313" s="2" t="s">
        <v>6039</v>
      </c>
      <c r="F313" t="s">
        <v>42</v>
      </c>
      <c r="G313" t="s">
        <v>1591</v>
      </c>
      <c r="H313" t="s">
        <v>1592</v>
      </c>
      <c r="I313" t="s">
        <v>23</v>
      </c>
      <c r="J313" t="s">
        <v>24</v>
      </c>
      <c r="K313" t="s">
        <v>212</v>
      </c>
      <c r="L313" t="s">
        <v>37</v>
      </c>
      <c r="M313" t="s">
        <v>74</v>
      </c>
      <c r="N313" t="s">
        <v>1593</v>
      </c>
      <c r="O313" t="s">
        <v>48</v>
      </c>
      <c r="P313" t="s">
        <v>49</v>
      </c>
      <c r="Q313" t="s">
        <v>1594</v>
      </c>
      <c r="R313">
        <v>1998.88</v>
      </c>
      <c r="S313">
        <v>9</v>
      </c>
      <c r="T313">
        <v>0</v>
      </c>
      <c r="U313">
        <v>664.55</v>
      </c>
    </row>
    <row r="314" spans="1:21" x14ac:dyDescent="0.35">
      <c r="A314" t="s">
        <v>1595</v>
      </c>
      <c r="B314" s="2">
        <v>43076</v>
      </c>
      <c r="C314" s="2" t="str">
        <f t="shared" si="8"/>
        <v>December</v>
      </c>
      <c r="D314" s="2" t="str">
        <f t="shared" si="9"/>
        <v>2017</v>
      </c>
      <c r="E314" s="2" t="s">
        <v>6112</v>
      </c>
      <c r="F314" t="s">
        <v>20</v>
      </c>
      <c r="G314" t="s">
        <v>1596</v>
      </c>
      <c r="H314" t="s">
        <v>1597</v>
      </c>
      <c r="I314" t="s">
        <v>35</v>
      </c>
      <c r="J314" t="s">
        <v>24</v>
      </c>
      <c r="K314" t="s">
        <v>73</v>
      </c>
      <c r="L314" t="s">
        <v>36</v>
      </c>
      <c r="M314" t="s">
        <v>83</v>
      </c>
      <c r="N314" t="s">
        <v>1598</v>
      </c>
      <c r="O314" t="s">
        <v>48</v>
      </c>
      <c r="P314" t="s">
        <v>49</v>
      </c>
      <c r="Q314" t="s">
        <v>1599</v>
      </c>
      <c r="R314">
        <v>1212.5999999999999</v>
      </c>
      <c r="S314">
        <v>1</v>
      </c>
      <c r="T314">
        <v>0.2</v>
      </c>
      <c r="U314">
        <v>386.19</v>
      </c>
    </row>
    <row r="315" spans="1:21" x14ac:dyDescent="0.35">
      <c r="A315" t="s">
        <v>1600</v>
      </c>
      <c r="B315" s="2">
        <v>43763</v>
      </c>
      <c r="C315" s="2" t="str">
        <f t="shared" si="8"/>
        <v>October</v>
      </c>
      <c r="D315" s="2" t="str">
        <f t="shared" si="9"/>
        <v>2019</v>
      </c>
      <c r="E315" s="2" t="s">
        <v>6238</v>
      </c>
      <c r="F315" t="s">
        <v>20</v>
      </c>
      <c r="G315" t="s">
        <v>1601</v>
      </c>
      <c r="H315" t="s">
        <v>1602</v>
      </c>
      <c r="I315" t="s">
        <v>35</v>
      </c>
      <c r="J315" t="s">
        <v>24</v>
      </c>
      <c r="K315" t="s">
        <v>133</v>
      </c>
      <c r="L315" t="s">
        <v>82</v>
      </c>
      <c r="M315" t="s">
        <v>57</v>
      </c>
      <c r="N315" t="s">
        <v>1603</v>
      </c>
      <c r="O315" t="s">
        <v>29</v>
      </c>
      <c r="P315" t="s">
        <v>155</v>
      </c>
      <c r="Q315" t="s">
        <v>1604</v>
      </c>
      <c r="R315">
        <v>1409.4</v>
      </c>
      <c r="S315">
        <v>6</v>
      </c>
      <c r="T315">
        <v>0.3</v>
      </c>
      <c r="U315">
        <v>442.38</v>
      </c>
    </row>
    <row r="316" spans="1:21" x14ac:dyDescent="0.35">
      <c r="A316" t="s">
        <v>1605</v>
      </c>
      <c r="B316" s="2">
        <v>42801</v>
      </c>
      <c r="C316" s="2" t="str">
        <f t="shared" si="8"/>
        <v>March</v>
      </c>
      <c r="D316" s="2" t="str">
        <f t="shared" si="9"/>
        <v>2017</v>
      </c>
      <c r="E316" s="2" t="s">
        <v>6003</v>
      </c>
      <c r="F316" t="s">
        <v>52</v>
      </c>
      <c r="G316" t="s">
        <v>1606</v>
      </c>
      <c r="H316" t="s">
        <v>1607</v>
      </c>
      <c r="I316" t="s">
        <v>23</v>
      </c>
      <c r="J316" t="s">
        <v>24</v>
      </c>
      <c r="K316" t="s">
        <v>81</v>
      </c>
      <c r="L316" t="s">
        <v>65</v>
      </c>
      <c r="M316" t="s">
        <v>27</v>
      </c>
      <c r="N316" t="s">
        <v>1608</v>
      </c>
      <c r="O316" t="s">
        <v>67</v>
      </c>
      <c r="P316" t="s">
        <v>350</v>
      </c>
      <c r="Q316" t="s">
        <v>1609</v>
      </c>
      <c r="R316">
        <v>1464.05</v>
      </c>
      <c r="S316">
        <v>9</v>
      </c>
      <c r="T316">
        <v>0.4</v>
      </c>
      <c r="U316">
        <v>-433.3</v>
      </c>
    </row>
    <row r="317" spans="1:21" x14ac:dyDescent="0.35">
      <c r="A317" t="s">
        <v>1610</v>
      </c>
      <c r="B317" s="2">
        <v>42541</v>
      </c>
      <c r="C317" s="2" t="str">
        <f t="shared" si="8"/>
        <v>June</v>
      </c>
      <c r="D317" s="2" t="str">
        <f t="shared" si="9"/>
        <v>2016</v>
      </c>
      <c r="E317" s="2" t="s">
        <v>6118</v>
      </c>
      <c r="F317" t="s">
        <v>42</v>
      </c>
      <c r="G317" t="s">
        <v>1611</v>
      </c>
      <c r="H317" t="s">
        <v>1612</v>
      </c>
      <c r="I317" t="s">
        <v>23</v>
      </c>
      <c r="J317" t="s">
        <v>24</v>
      </c>
      <c r="K317" t="s">
        <v>36</v>
      </c>
      <c r="L317" t="s">
        <v>170</v>
      </c>
      <c r="M317" t="s">
        <v>57</v>
      </c>
      <c r="N317" t="s">
        <v>1613</v>
      </c>
      <c r="O317" t="s">
        <v>67</v>
      </c>
      <c r="P317" t="s">
        <v>350</v>
      </c>
      <c r="Q317" t="s">
        <v>1614</v>
      </c>
      <c r="R317">
        <v>1380.15</v>
      </c>
      <c r="S317">
        <v>3</v>
      </c>
      <c r="T317">
        <v>0.4</v>
      </c>
      <c r="U317">
        <v>-147.83000000000001</v>
      </c>
    </row>
    <row r="318" spans="1:21" x14ac:dyDescent="0.35">
      <c r="A318" t="s">
        <v>1615</v>
      </c>
      <c r="B318" s="2">
        <v>43731</v>
      </c>
      <c r="C318" s="2" t="str">
        <f t="shared" si="8"/>
        <v>September</v>
      </c>
      <c r="D318" s="2" t="str">
        <f t="shared" si="9"/>
        <v>2019</v>
      </c>
      <c r="E318" s="2" t="s">
        <v>6158</v>
      </c>
      <c r="F318" t="s">
        <v>20</v>
      </c>
      <c r="G318" t="s">
        <v>1616</v>
      </c>
      <c r="H318" t="s">
        <v>1617</v>
      </c>
      <c r="I318" t="s">
        <v>23</v>
      </c>
      <c r="J318" t="s">
        <v>24</v>
      </c>
      <c r="K318" t="s">
        <v>103</v>
      </c>
      <c r="L318" t="s">
        <v>65</v>
      </c>
      <c r="M318" t="s">
        <v>57</v>
      </c>
      <c r="N318" t="s">
        <v>1618</v>
      </c>
      <c r="O318" t="s">
        <v>29</v>
      </c>
      <c r="P318" t="s">
        <v>30</v>
      </c>
      <c r="Q318" t="s">
        <v>1619</v>
      </c>
      <c r="R318">
        <v>1351.1</v>
      </c>
      <c r="S318">
        <v>6</v>
      </c>
      <c r="T318">
        <v>0.4</v>
      </c>
      <c r="U318">
        <v>173.97</v>
      </c>
    </row>
    <row r="319" spans="1:21" x14ac:dyDescent="0.35">
      <c r="A319" t="s">
        <v>1620</v>
      </c>
      <c r="B319" s="2">
        <v>42383</v>
      </c>
      <c r="C319" s="2" t="str">
        <f t="shared" si="8"/>
        <v>January</v>
      </c>
      <c r="D319" s="2" t="str">
        <f t="shared" si="9"/>
        <v>2016</v>
      </c>
      <c r="E319" s="2" t="s">
        <v>6261</v>
      </c>
      <c r="F319" t="s">
        <v>52</v>
      </c>
      <c r="G319" t="s">
        <v>1621</v>
      </c>
      <c r="H319" t="s">
        <v>1622</v>
      </c>
      <c r="I319" t="s">
        <v>35</v>
      </c>
      <c r="J319" t="s">
        <v>24</v>
      </c>
      <c r="K319" t="s">
        <v>97</v>
      </c>
      <c r="L319" t="s">
        <v>46</v>
      </c>
      <c r="M319" t="s">
        <v>83</v>
      </c>
      <c r="N319" t="s">
        <v>1623</v>
      </c>
      <c r="O319" t="s">
        <v>29</v>
      </c>
      <c r="P319" t="s">
        <v>39</v>
      </c>
      <c r="Q319" t="s">
        <v>1624</v>
      </c>
      <c r="R319">
        <v>1490.43</v>
      </c>
      <c r="S319">
        <v>6</v>
      </c>
      <c r="T319">
        <v>0</v>
      </c>
      <c r="U319">
        <v>446.1</v>
      </c>
    </row>
    <row r="320" spans="1:21" x14ac:dyDescent="0.35">
      <c r="A320" t="s">
        <v>1625</v>
      </c>
      <c r="B320" s="2">
        <v>42521</v>
      </c>
      <c r="C320" s="2" t="str">
        <f t="shared" si="8"/>
        <v>May</v>
      </c>
      <c r="D320" s="2" t="str">
        <f t="shared" si="9"/>
        <v>2016</v>
      </c>
      <c r="E320" s="2">
        <v>42619</v>
      </c>
      <c r="F320" t="s">
        <v>62</v>
      </c>
      <c r="G320" t="s">
        <v>1626</v>
      </c>
      <c r="H320" t="s">
        <v>1627</v>
      </c>
      <c r="I320" t="s">
        <v>35</v>
      </c>
      <c r="J320" t="s">
        <v>24</v>
      </c>
      <c r="K320" t="s">
        <v>25</v>
      </c>
      <c r="L320" t="s">
        <v>37</v>
      </c>
      <c r="M320" t="s">
        <v>83</v>
      </c>
      <c r="N320" t="s">
        <v>1628</v>
      </c>
      <c r="O320" t="s">
        <v>48</v>
      </c>
      <c r="P320" t="s">
        <v>76</v>
      </c>
      <c r="Q320" t="s">
        <v>1629</v>
      </c>
      <c r="R320">
        <v>619.1</v>
      </c>
      <c r="S320">
        <v>9</v>
      </c>
      <c r="T320">
        <v>0</v>
      </c>
      <c r="U320">
        <v>165.74</v>
      </c>
    </row>
    <row r="321" spans="1:21" x14ac:dyDescent="0.35">
      <c r="A321" t="s">
        <v>1630</v>
      </c>
      <c r="B321" s="2">
        <v>42908</v>
      </c>
      <c r="C321" s="2" t="str">
        <f t="shared" si="8"/>
        <v>June</v>
      </c>
      <c r="D321" s="2" t="str">
        <f t="shared" si="9"/>
        <v>2017</v>
      </c>
      <c r="E321" s="2" t="s">
        <v>6091</v>
      </c>
      <c r="F321" t="s">
        <v>20</v>
      </c>
      <c r="G321" t="s">
        <v>1631</v>
      </c>
      <c r="H321" t="s">
        <v>1632</v>
      </c>
      <c r="I321" t="s">
        <v>23</v>
      </c>
      <c r="J321" t="s">
        <v>24</v>
      </c>
      <c r="K321" t="s">
        <v>36</v>
      </c>
      <c r="L321" t="s">
        <v>115</v>
      </c>
      <c r="M321" t="s">
        <v>83</v>
      </c>
      <c r="N321" t="s">
        <v>1633</v>
      </c>
      <c r="O321" t="s">
        <v>67</v>
      </c>
      <c r="P321" t="s">
        <v>197</v>
      </c>
      <c r="Q321" t="s">
        <v>1634</v>
      </c>
      <c r="R321">
        <v>64.8</v>
      </c>
      <c r="S321">
        <v>9</v>
      </c>
      <c r="T321">
        <v>0.3</v>
      </c>
      <c r="U321">
        <v>2.89</v>
      </c>
    </row>
    <row r="322" spans="1:21" x14ac:dyDescent="0.35">
      <c r="A322" t="s">
        <v>1635</v>
      </c>
      <c r="B322" s="2">
        <v>43625</v>
      </c>
      <c r="C322" s="2" t="str">
        <f t="shared" si="8"/>
        <v>June</v>
      </c>
      <c r="D322" s="2" t="str">
        <f t="shared" si="9"/>
        <v>2019</v>
      </c>
      <c r="E322" s="2" t="s">
        <v>6172</v>
      </c>
      <c r="F322" t="s">
        <v>20</v>
      </c>
      <c r="G322" t="s">
        <v>1636</v>
      </c>
      <c r="H322" t="s">
        <v>1637</v>
      </c>
      <c r="I322" t="s">
        <v>35</v>
      </c>
      <c r="J322" t="s">
        <v>24</v>
      </c>
      <c r="K322" t="s">
        <v>97</v>
      </c>
      <c r="L322" t="s">
        <v>26</v>
      </c>
      <c r="M322" t="s">
        <v>83</v>
      </c>
      <c r="N322" t="s">
        <v>1638</v>
      </c>
      <c r="O322" t="s">
        <v>48</v>
      </c>
      <c r="P322" t="s">
        <v>59</v>
      </c>
      <c r="Q322" t="s">
        <v>1639</v>
      </c>
      <c r="R322">
        <v>247.7</v>
      </c>
      <c r="S322">
        <v>5</v>
      </c>
      <c r="T322">
        <v>0</v>
      </c>
      <c r="U322">
        <v>112.74</v>
      </c>
    </row>
    <row r="323" spans="1:21" x14ac:dyDescent="0.35">
      <c r="A323" t="s">
        <v>1640</v>
      </c>
      <c r="B323" s="2">
        <v>42625</v>
      </c>
      <c r="C323" s="2" t="str">
        <f t="shared" ref="C323:C386" si="10">TEXT(B323,"mmmm")</f>
        <v>September</v>
      </c>
      <c r="D323" s="2" t="str">
        <f t="shared" ref="D323:D386" si="11">TEXT(B323,"yyyy")</f>
        <v>2016</v>
      </c>
      <c r="E323" s="2" t="s">
        <v>6051</v>
      </c>
      <c r="F323" t="s">
        <v>42</v>
      </c>
      <c r="G323" t="s">
        <v>1641</v>
      </c>
      <c r="H323" t="s">
        <v>1642</v>
      </c>
      <c r="I323" t="s">
        <v>55</v>
      </c>
      <c r="J323" t="s">
        <v>24</v>
      </c>
      <c r="K323" t="s">
        <v>97</v>
      </c>
      <c r="L323" t="s">
        <v>36</v>
      </c>
      <c r="M323" t="s">
        <v>74</v>
      </c>
      <c r="N323" t="s">
        <v>1643</v>
      </c>
      <c r="O323" t="s">
        <v>67</v>
      </c>
      <c r="P323" t="s">
        <v>92</v>
      </c>
      <c r="Q323" t="s">
        <v>1644</v>
      </c>
      <c r="R323">
        <v>501.34</v>
      </c>
      <c r="S323">
        <v>7</v>
      </c>
      <c r="T323">
        <v>0.1</v>
      </c>
      <c r="U323">
        <v>-16.46</v>
      </c>
    </row>
    <row r="324" spans="1:21" x14ac:dyDescent="0.35">
      <c r="A324" t="s">
        <v>1645</v>
      </c>
      <c r="B324" s="2">
        <v>43342</v>
      </c>
      <c r="C324" s="2" t="str">
        <f t="shared" si="10"/>
        <v>August</v>
      </c>
      <c r="D324" s="2" t="str">
        <f t="shared" si="11"/>
        <v>2018</v>
      </c>
      <c r="E324" s="2" t="s">
        <v>6141</v>
      </c>
      <c r="F324" t="s">
        <v>42</v>
      </c>
      <c r="G324" t="s">
        <v>1646</v>
      </c>
      <c r="H324" t="s">
        <v>1647</v>
      </c>
      <c r="I324" t="s">
        <v>55</v>
      </c>
      <c r="J324" t="s">
        <v>24</v>
      </c>
      <c r="K324" t="s">
        <v>81</v>
      </c>
      <c r="L324" t="s">
        <v>37</v>
      </c>
      <c r="M324" t="s">
        <v>83</v>
      </c>
      <c r="N324" t="s">
        <v>1648</v>
      </c>
      <c r="O324" t="s">
        <v>67</v>
      </c>
      <c r="P324" t="s">
        <v>229</v>
      </c>
      <c r="Q324" t="s">
        <v>1649</v>
      </c>
      <c r="R324">
        <v>405.92</v>
      </c>
      <c r="S324">
        <v>4</v>
      </c>
      <c r="T324">
        <v>0.1</v>
      </c>
      <c r="U324">
        <v>-40.03</v>
      </c>
    </row>
    <row r="325" spans="1:21" x14ac:dyDescent="0.35">
      <c r="A325" t="s">
        <v>1650</v>
      </c>
      <c r="B325" s="2">
        <v>43398</v>
      </c>
      <c r="C325" s="2" t="str">
        <f t="shared" si="10"/>
        <v>October</v>
      </c>
      <c r="D325" s="2" t="str">
        <f t="shared" si="11"/>
        <v>2018</v>
      </c>
      <c r="E325" s="2" t="s">
        <v>6262</v>
      </c>
      <c r="F325" t="s">
        <v>20</v>
      </c>
      <c r="G325" t="s">
        <v>1651</v>
      </c>
      <c r="H325" t="s">
        <v>1652</v>
      </c>
      <c r="I325" t="s">
        <v>23</v>
      </c>
      <c r="J325" t="s">
        <v>24</v>
      </c>
      <c r="K325" t="s">
        <v>81</v>
      </c>
      <c r="L325" t="s">
        <v>170</v>
      </c>
      <c r="M325" t="s">
        <v>83</v>
      </c>
      <c r="N325" t="s">
        <v>1653</v>
      </c>
      <c r="O325" t="s">
        <v>67</v>
      </c>
      <c r="P325" t="s">
        <v>117</v>
      </c>
      <c r="Q325" t="s">
        <v>1654</v>
      </c>
      <c r="R325">
        <v>137.74</v>
      </c>
      <c r="S325">
        <v>4</v>
      </c>
      <c r="T325">
        <v>0</v>
      </c>
      <c r="U325">
        <v>51.58</v>
      </c>
    </row>
    <row r="326" spans="1:21" x14ac:dyDescent="0.35">
      <c r="A326" t="s">
        <v>1655</v>
      </c>
      <c r="B326" s="2">
        <v>42425</v>
      </c>
      <c r="C326" s="2" t="str">
        <f t="shared" si="10"/>
        <v>February</v>
      </c>
      <c r="D326" s="2" t="str">
        <f t="shared" si="11"/>
        <v>2016</v>
      </c>
      <c r="E326" s="2">
        <v>42493</v>
      </c>
      <c r="F326" t="s">
        <v>52</v>
      </c>
      <c r="G326" t="s">
        <v>1656</v>
      </c>
      <c r="H326" t="s">
        <v>551</v>
      </c>
      <c r="I326" t="s">
        <v>55</v>
      </c>
      <c r="J326" t="s">
        <v>24</v>
      </c>
      <c r="K326" t="s">
        <v>212</v>
      </c>
      <c r="L326" t="s">
        <v>65</v>
      </c>
      <c r="M326" t="s">
        <v>27</v>
      </c>
      <c r="N326" t="s">
        <v>1657</v>
      </c>
      <c r="O326" t="s">
        <v>67</v>
      </c>
      <c r="P326" t="s">
        <v>229</v>
      </c>
      <c r="Q326" t="s">
        <v>1110</v>
      </c>
      <c r="R326">
        <v>1215.4000000000001</v>
      </c>
      <c r="S326">
        <v>1</v>
      </c>
      <c r="T326">
        <v>0.4</v>
      </c>
      <c r="U326">
        <v>-332.11</v>
      </c>
    </row>
    <row r="327" spans="1:21" x14ac:dyDescent="0.35">
      <c r="A327" t="s">
        <v>1658</v>
      </c>
      <c r="B327" s="2">
        <v>42690</v>
      </c>
      <c r="C327" s="2" t="str">
        <f t="shared" si="10"/>
        <v>November</v>
      </c>
      <c r="D327" s="2" t="str">
        <f t="shared" si="11"/>
        <v>2016</v>
      </c>
      <c r="E327" s="2" t="s">
        <v>6263</v>
      </c>
      <c r="F327" t="s">
        <v>42</v>
      </c>
      <c r="G327" t="s">
        <v>1659</v>
      </c>
      <c r="H327" t="s">
        <v>1660</v>
      </c>
      <c r="I327" t="s">
        <v>23</v>
      </c>
      <c r="J327" t="s">
        <v>24</v>
      </c>
      <c r="K327" t="s">
        <v>81</v>
      </c>
      <c r="L327" t="s">
        <v>65</v>
      </c>
      <c r="M327" t="s">
        <v>57</v>
      </c>
      <c r="N327" t="s">
        <v>1661</v>
      </c>
      <c r="O327" t="s">
        <v>29</v>
      </c>
      <c r="P327" t="s">
        <v>110</v>
      </c>
      <c r="Q327" t="s">
        <v>1662</v>
      </c>
      <c r="R327">
        <v>1023.55</v>
      </c>
      <c r="S327">
        <v>6</v>
      </c>
      <c r="T327">
        <v>0.2</v>
      </c>
      <c r="U327">
        <v>342.25</v>
      </c>
    </row>
    <row r="328" spans="1:21" x14ac:dyDescent="0.35">
      <c r="A328" t="s">
        <v>1663</v>
      </c>
      <c r="B328" s="2">
        <v>42660</v>
      </c>
      <c r="C328" s="2" t="str">
        <f t="shared" si="10"/>
        <v>October</v>
      </c>
      <c r="D328" s="2" t="str">
        <f t="shared" si="11"/>
        <v>2016</v>
      </c>
      <c r="E328" s="2" t="s">
        <v>6059</v>
      </c>
      <c r="F328" t="s">
        <v>62</v>
      </c>
      <c r="G328" t="s">
        <v>1664</v>
      </c>
      <c r="H328" t="s">
        <v>1665</v>
      </c>
      <c r="I328" t="s">
        <v>35</v>
      </c>
      <c r="J328" t="s">
        <v>24</v>
      </c>
      <c r="K328" t="s">
        <v>97</v>
      </c>
      <c r="L328" t="s">
        <v>46</v>
      </c>
      <c r="M328" t="s">
        <v>27</v>
      </c>
      <c r="N328" t="s">
        <v>1666</v>
      </c>
      <c r="O328" t="s">
        <v>29</v>
      </c>
      <c r="P328" t="s">
        <v>30</v>
      </c>
      <c r="Q328" t="s">
        <v>1667</v>
      </c>
      <c r="R328">
        <v>692.12</v>
      </c>
      <c r="S328">
        <v>8</v>
      </c>
      <c r="T328">
        <v>0.1</v>
      </c>
      <c r="U328">
        <v>-133.46</v>
      </c>
    </row>
    <row r="329" spans="1:21" x14ac:dyDescent="0.35">
      <c r="A329" t="s">
        <v>1668</v>
      </c>
      <c r="B329" s="2">
        <v>42895</v>
      </c>
      <c r="C329" s="2" t="str">
        <f t="shared" si="10"/>
        <v>June</v>
      </c>
      <c r="D329" s="2" t="str">
        <f t="shared" si="11"/>
        <v>2017</v>
      </c>
      <c r="E329" s="2">
        <v>43075</v>
      </c>
      <c r="F329" t="s">
        <v>20</v>
      </c>
      <c r="G329" t="s">
        <v>1669</v>
      </c>
      <c r="H329" t="s">
        <v>1670</v>
      </c>
      <c r="I329" t="s">
        <v>23</v>
      </c>
      <c r="J329" t="s">
        <v>24</v>
      </c>
      <c r="K329" t="s">
        <v>212</v>
      </c>
      <c r="L329" t="s">
        <v>46</v>
      </c>
      <c r="M329" t="s">
        <v>57</v>
      </c>
      <c r="N329" t="s">
        <v>1671</v>
      </c>
      <c r="O329" t="s">
        <v>48</v>
      </c>
      <c r="P329" t="s">
        <v>128</v>
      </c>
      <c r="Q329" t="s">
        <v>1672</v>
      </c>
      <c r="R329">
        <v>1996.26</v>
      </c>
      <c r="S329">
        <v>4</v>
      </c>
      <c r="T329">
        <v>0.2</v>
      </c>
      <c r="U329">
        <v>118.07</v>
      </c>
    </row>
    <row r="330" spans="1:21" x14ac:dyDescent="0.35">
      <c r="A330" t="s">
        <v>1673</v>
      </c>
      <c r="B330" s="2">
        <v>43185</v>
      </c>
      <c r="C330" s="2" t="str">
        <f t="shared" si="10"/>
        <v>March</v>
      </c>
      <c r="D330" s="2" t="str">
        <f t="shared" si="11"/>
        <v>2018</v>
      </c>
      <c r="E330" s="2" t="s">
        <v>5971</v>
      </c>
      <c r="F330" t="s">
        <v>42</v>
      </c>
      <c r="G330" t="s">
        <v>1674</v>
      </c>
      <c r="H330" t="s">
        <v>1675</v>
      </c>
      <c r="I330" t="s">
        <v>23</v>
      </c>
      <c r="J330" t="s">
        <v>24</v>
      </c>
      <c r="K330" t="s">
        <v>103</v>
      </c>
      <c r="L330" t="s">
        <v>90</v>
      </c>
      <c r="M330" t="s">
        <v>57</v>
      </c>
      <c r="N330" t="s">
        <v>1676</v>
      </c>
      <c r="O330" t="s">
        <v>48</v>
      </c>
      <c r="P330" t="s">
        <v>59</v>
      </c>
      <c r="Q330" t="s">
        <v>1677</v>
      </c>
      <c r="R330">
        <v>1699.23</v>
      </c>
      <c r="S330">
        <v>1</v>
      </c>
      <c r="T330">
        <v>0.2</v>
      </c>
      <c r="U330">
        <v>461.71</v>
      </c>
    </row>
    <row r="331" spans="1:21" x14ac:dyDescent="0.35">
      <c r="A331" t="s">
        <v>1678</v>
      </c>
      <c r="B331" s="2">
        <v>43342</v>
      </c>
      <c r="C331" s="2" t="str">
        <f t="shared" si="10"/>
        <v>August</v>
      </c>
      <c r="D331" s="2" t="str">
        <f t="shared" si="11"/>
        <v>2018</v>
      </c>
      <c r="E331" s="2">
        <v>43199</v>
      </c>
      <c r="F331" t="s">
        <v>62</v>
      </c>
      <c r="G331" t="s">
        <v>1679</v>
      </c>
      <c r="H331" t="s">
        <v>1680</v>
      </c>
      <c r="I331" t="s">
        <v>23</v>
      </c>
      <c r="J331" t="s">
        <v>24</v>
      </c>
      <c r="K331" t="s">
        <v>73</v>
      </c>
      <c r="L331" t="s">
        <v>26</v>
      </c>
      <c r="M331" t="s">
        <v>57</v>
      </c>
      <c r="N331" t="s">
        <v>1681</v>
      </c>
      <c r="O331" t="s">
        <v>48</v>
      </c>
      <c r="P331" t="s">
        <v>49</v>
      </c>
      <c r="Q331" t="s">
        <v>1682</v>
      </c>
      <c r="R331">
        <v>288.73</v>
      </c>
      <c r="S331">
        <v>5</v>
      </c>
      <c r="T331">
        <v>0.2</v>
      </c>
      <c r="U331">
        <v>-45.34</v>
      </c>
    </row>
    <row r="332" spans="1:21" x14ac:dyDescent="0.35">
      <c r="A332" t="s">
        <v>1683</v>
      </c>
      <c r="B332" s="2">
        <v>43507</v>
      </c>
      <c r="C332" s="2" t="str">
        <f t="shared" si="10"/>
        <v>February</v>
      </c>
      <c r="D332" s="2" t="str">
        <f t="shared" si="11"/>
        <v>2019</v>
      </c>
      <c r="E332" s="2" t="s">
        <v>6264</v>
      </c>
      <c r="F332" t="s">
        <v>42</v>
      </c>
      <c r="G332" t="s">
        <v>1684</v>
      </c>
      <c r="H332" t="s">
        <v>1685</v>
      </c>
      <c r="I332" t="s">
        <v>35</v>
      </c>
      <c r="J332" t="s">
        <v>24</v>
      </c>
      <c r="K332" t="s">
        <v>25</v>
      </c>
      <c r="L332" t="s">
        <v>65</v>
      </c>
      <c r="M332" t="s">
        <v>74</v>
      </c>
      <c r="N332" t="s">
        <v>1686</v>
      </c>
      <c r="O332" t="s">
        <v>67</v>
      </c>
      <c r="P332" t="s">
        <v>68</v>
      </c>
      <c r="Q332" t="s">
        <v>1687</v>
      </c>
      <c r="R332">
        <v>1113.04</v>
      </c>
      <c r="S332">
        <v>10</v>
      </c>
      <c r="T332">
        <v>0</v>
      </c>
      <c r="U332">
        <v>374.11</v>
      </c>
    </row>
    <row r="333" spans="1:21" x14ac:dyDescent="0.35">
      <c r="A333" t="s">
        <v>1688</v>
      </c>
      <c r="B333" s="2">
        <v>42495</v>
      </c>
      <c r="C333" s="2" t="str">
        <f t="shared" si="10"/>
        <v>May</v>
      </c>
      <c r="D333" s="2" t="str">
        <f t="shared" si="11"/>
        <v>2016</v>
      </c>
      <c r="E333" s="2">
        <v>42679</v>
      </c>
      <c r="F333" t="s">
        <v>52</v>
      </c>
      <c r="G333" t="s">
        <v>1689</v>
      </c>
      <c r="H333" t="s">
        <v>1690</v>
      </c>
      <c r="I333" t="s">
        <v>35</v>
      </c>
      <c r="J333" t="s">
        <v>24</v>
      </c>
      <c r="K333" t="s">
        <v>103</v>
      </c>
      <c r="L333" t="s">
        <v>115</v>
      </c>
      <c r="M333" t="s">
        <v>74</v>
      </c>
      <c r="N333" t="s">
        <v>1691</v>
      </c>
      <c r="O333" t="s">
        <v>29</v>
      </c>
      <c r="P333" t="s">
        <v>155</v>
      </c>
      <c r="Q333" t="s">
        <v>1692</v>
      </c>
      <c r="R333">
        <v>523.37</v>
      </c>
      <c r="S333">
        <v>10</v>
      </c>
      <c r="T333">
        <v>0</v>
      </c>
      <c r="U333">
        <v>252.98</v>
      </c>
    </row>
    <row r="334" spans="1:21" x14ac:dyDescent="0.35">
      <c r="A334" t="s">
        <v>1693</v>
      </c>
      <c r="B334" s="2">
        <v>42833</v>
      </c>
      <c r="C334" s="2" t="str">
        <f t="shared" si="10"/>
        <v>April</v>
      </c>
      <c r="D334" s="2" t="str">
        <f t="shared" si="11"/>
        <v>2017</v>
      </c>
      <c r="E334" s="2">
        <v>43012</v>
      </c>
      <c r="F334" t="s">
        <v>62</v>
      </c>
      <c r="G334" t="s">
        <v>1694</v>
      </c>
      <c r="H334" t="s">
        <v>1695</v>
      </c>
      <c r="I334" t="s">
        <v>23</v>
      </c>
      <c r="J334" t="s">
        <v>24</v>
      </c>
      <c r="K334" t="s">
        <v>212</v>
      </c>
      <c r="L334" t="s">
        <v>56</v>
      </c>
      <c r="M334" t="s">
        <v>83</v>
      </c>
      <c r="N334" t="s">
        <v>1696</v>
      </c>
      <c r="O334" t="s">
        <v>48</v>
      </c>
      <c r="P334" t="s">
        <v>128</v>
      </c>
      <c r="Q334" t="s">
        <v>1697</v>
      </c>
      <c r="R334">
        <v>740.92</v>
      </c>
      <c r="S334">
        <v>6</v>
      </c>
      <c r="T334">
        <v>0</v>
      </c>
      <c r="U334">
        <v>19.670000000000002</v>
      </c>
    </row>
    <row r="335" spans="1:21" x14ac:dyDescent="0.35">
      <c r="A335" t="s">
        <v>1698</v>
      </c>
      <c r="B335" s="2">
        <v>43147</v>
      </c>
      <c r="C335" s="2" t="str">
        <f t="shared" si="10"/>
        <v>February</v>
      </c>
      <c r="D335" s="2" t="str">
        <f t="shared" si="11"/>
        <v>2018</v>
      </c>
      <c r="E335" s="2" t="s">
        <v>6078</v>
      </c>
      <c r="F335" t="s">
        <v>20</v>
      </c>
      <c r="G335" t="s">
        <v>1699</v>
      </c>
      <c r="H335" t="s">
        <v>1162</v>
      </c>
      <c r="I335" t="s">
        <v>23</v>
      </c>
      <c r="J335" t="s">
        <v>24</v>
      </c>
      <c r="K335" t="s">
        <v>25</v>
      </c>
      <c r="L335" t="s">
        <v>90</v>
      </c>
      <c r="M335" t="s">
        <v>57</v>
      </c>
      <c r="N335" t="s">
        <v>1700</v>
      </c>
      <c r="O335" t="s">
        <v>48</v>
      </c>
      <c r="P335" t="s">
        <v>49</v>
      </c>
      <c r="Q335" t="s">
        <v>1701</v>
      </c>
      <c r="R335">
        <v>1338.54</v>
      </c>
      <c r="S335">
        <v>5</v>
      </c>
      <c r="T335">
        <v>0</v>
      </c>
      <c r="U335">
        <v>394.55</v>
      </c>
    </row>
    <row r="336" spans="1:21" x14ac:dyDescent="0.35">
      <c r="A336" t="s">
        <v>1702</v>
      </c>
      <c r="B336" s="2">
        <v>42742</v>
      </c>
      <c r="C336" s="2" t="str">
        <f t="shared" si="10"/>
        <v>January</v>
      </c>
      <c r="D336" s="2" t="str">
        <f t="shared" si="11"/>
        <v>2017</v>
      </c>
      <c r="E336" s="2">
        <v>43009</v>
      </c>
      <c r="F336" t="s">
        <v>62</v>
      </c>
      <c r="G336" t="s">
        <v>1703</v>
      </c>
      <c r="H336" t="s">
        <v>1704</v>
      </c>
      <c r="I336" t="s">
        <v>55</v>
      </c>
      <c r="J336" t="s">
        <v>24</v>
      </c>
      <c r="K336" t="s">
        <v>89</v>
      </c>
      <c r="L336" t="s">
        <v>26</v>
      </c>
      <c r="M336" t="s">
        <v>83</v>
      </c>
      <c r="N336" t="s">
        <v>1705</v>
      </c>
      <c r="O336" t="s">
        <v>29</v>
      </c>
      <c r="P336" t="s">
        <v>155</v>
      </c>
      <c r="Q336" t="s">
        <v>1706</v>
      </c>
      <c r="R336">
        <v>71.77</v>
      </c>
      <c r="S336">
        <v>5</v>
      </c>
      <c r="T336">
        <v>0.4</v>
      </c>
      <c r="U336">
        <v>32.409999999999997</v>
      </c>
    </row>
    <row r="337" spans="1:21" x14ac:dyDescent="0.35">
      <c r="A337" t="s">
        <v>1707</v>
      </c>
      <c r="B337" s="2">
        <v>42459</v>
      </c>
      <c r="C337" s="2" t="str">
        <f t="shared" si="10"/>
        <v>March</v>
      </c>
      <c r="D337" s="2" t="str">
        <f t="shared" si="11"/>
        <v>2016</v>
      </c>
      <c r="E337" s="2">
        <v>42494</v>
      </c>
      <c r="F337" t="s">
        <v>42</v>
      </c>
      <c r="G337" t="s">
        <v>1708</v>
      </c>
      <c r="H337" t="s">
        <v>1709</v>
      </c>
      <c r="I337" t="s">
        <v>35</v>
      </c>
      <c r="J337" t="s">
        <v>24</v>
      </c>
      <c r="K337" t="s">
        <v>103</v>
      </c>
      <c r="L337" t="s">
        <v>82</v>
      </c>
      <c r="M337" t="s">
        <v>57</v>
      </c>
      <c r="N337" t="s">
        <v>1710</v>
      </c>
      <c r="O337" t="s">
        <v>67</v>
      </c>
      <c r="P337" t="s">
        <v>68</v>
      </c>
      <c r="Q337" t="s">
        <v>1711</v>
      </c>
      <c r="R337">
        <v>750.08</v>
      </c>
      <c r="S337">
        <v>1</v>
      </c>
      <c r="T337">
        <v>0.4</v>
      </c>
      <c r="U337">
        <v>124.94</v>
      </c>
    </row>
    <row r="338" spans="1:21" x14ac:dyDescent="0.35">
      <c r="A338" t="s">
        <v>1712</v>
      </c>
      <c r="B338" s="2">
        <v>43247</v>
      </c>
      <c r="C338" s="2" t="str">
        <f t="shared" si="10"/>
        <v>May</v>
      </c>
      <c r="D338" s="2" t="str">
        <f t="shared" si="11"/>
        <v>2018</v>
      </c>
      <c r="E338" s="2" t="s">
        <v>6265</v>
      </c>
      <c r="F338" t="s">
        <v>20</v>
      </c>
      <c r="G338" t="s">
        <v>1713</v>
      </c>
      <c r="H338" t="s">
        <v>1714</v>
      </c>
      <c r="I338" t="s">
        <v>23</v>
      </c>
      <c r="J338" t="s">
        <v>24</v>
      </c>
      <c r="K338" t="s">
        <v>133</v>
      </c>
      <c r="L338" t="s">
        <v>37</v>
      </c>
      <c r="M338" t="s">
        <v>74</v>
      </c>
      <c r="N338" t="s">
        <v>1715</v>
      </c>
      <c r="O338" t="s">
        <v>29</v>
      </c>
      <c r="P338" t="s">
        <v>110</v>
      </c>
      <c r="Q338" t="s">
        <v>1144</v>
      </c>
      <c r="R338">
        <v>1215.3699999999999</v>
      </c>
      <c r="S338">
        <v>9</v>
      </c>
      <c r="T338">
        <v>0</v>
      </c>
      <c r="U338">
        <v>-321.02999999999997</v>
      </c>
    </row>
    <row r="339" spans="1:21" x14ac:dyDescent="0.35">
      <c r="A339" t="s">
        <v>1716</v>
      </c>
      <c r="B339" s="2">
        <v>43365</v>
      </c>
      <c r="C339" s="2" t="str">
        <f t="shared" si="10"/>
        <v>September</v>
      </c>
      <c r="D339" s="2" t="str">
        <f t="shared" si="11"/>
        <v>2018</v>
      </c>
      <c r="E339" s="2" t="s">
        <v>6266</v>
      </c>
      <c r="F339" t="s">
        <v>20</v>
      </c>
      <c r="G339" t="s">
        <v>1717</v>
      </c>
      <c r="H339" t="s">
        <v>1718</v>
      </c>
      <c r="I339" t="s">
        <v>55</v>
      </c>
      <c r="J339" t="s">
        <v>24</v>
      </c>
      <c r="K339" t="s">
        <v>133</v>
      </c>
      <c r="L339" t="s">
        <v>36</v>
      </c>
      <c r="M339" t="s">
        <v>74</v>
      </c>
      <c r="N339" t="s">
        <v>1719</v>
      </c>
      <c r="O339" t="s">
        <v>67</v>
      </c>
      <c r="P339" t="s">
        <v>229</v>
      </c>
      <c r="Q339" t="s">
        <v>1720</v>
      </c>
      <c r="R339">
        <v>1721.76</v>
      </c>
      <c r="S339">
        <v>4</v>
      </c>
      <c r="T339">
        <v>0</v>
      </c>
      <c r="U339">
        <v>153.97</v>
      </c>
    </row>
    <row r="340" spans="1:21" x14ac:dyDescent="0.35">
      <c r="A340" t="s">
        <v>1721</v>
      </c>
      <c r="B340" s="2">
        <v>42573</v>
      </c>
      <c r="C340" s="2" t="str">
        <f t="shared" si="10"/>
        <v>July</v>
      </c>
      <c r="D340" s="2" t="str">
        <f t="shared" si="11"/>
        <v>2016</v>
      </c>
      <c r="E340" s="2" t="s">
        <v>5955</v>
      </c>
      <c r="F340" t="s">
        <v>20</v>
      </c>
      <c r="G340" t="s">
        <v>1722</v>
      </c>
      <c r="H340" t="s">
        <v>1723</v>
      </c>
      <c r="I340" t="s">
        <v>23</v>
      </c>
      <c r="J340" t="s">
        <v>24</v>
      </c>
      <c r="K340" t="s">
        <v>212</v>
      </c>
      <c r="L340" t="s">
        <v>26</v>
      </c>
      <c r="M340" t="s">
        <v>74</v>
      </c>
      <c r="N340" t="s">
        <v>1724</v>
      </c>
      <c r="O340" t="s">
        <v>67</v>
      </c>
      <c r="P340" t="s">
        <v>68</v>
      </c>
      <c r="Q340" t="s">
        <v>1725</v>
      </c>
      <c r="R340">
        <v>395.63</v>
      </c>
      <c r="S340">
        <v>9</v>
      </c>
      <c r="T340">
        <v>0</v>
      </c>
      <c r="U340">
        <v>7.09</v>
      </c>
    </row>
    <row r="341" spans="1:21" x14ac:dyDescent="0.35">
      <c r="A341" t="s">
        <v>1726</v>
      </c>
      <c r="B341" s="2">
        <v>42928</v>
      </c>
      <c r="C341" s="2" t="str">
        <f t="shared" si="10"/>
        <v>July</v>
      </c>
      <c r="D341" s="2" t="str">
        <f t="shared" si="11"/>
        <v>2017</v>
      </c>
      <c r="E341" s="2" t="s">
        <v>6260</v>
      </c>
      <c r="F341" t="s">
        <v>20</v>
      </c>
      <c r="G341" t="s">
        <v>1727</v>
      </c>
      <c r="H341" t="s">
        <v>1728</v>
      </c>
      <c r="I341" t="s">
        <v>23</v>
      </c>
      <c r="J341" t="s">
        <v>24</v>
      </c>
      <c r="K341" t="s">
        <v>73</v>
      </c>
      <c r="L341" t="s">
        <v>37</v>
      </c>
      <c r="M341" t="s">
        <v>27</v>
      </c>
      <c r="N341" t="s">
        <v>1729</v>
      </c>
      <c r="O341" t="s">
        <v>67</v>
      </c>
      <c r="P341" t="s">
        <v>229</v>
      </c>
      <c r="Q341" t="s">
        <v>1730</v>
      </c>
      <c r="R341">
        <v>1080.31</v>
      </c>
      <c r="S341">
        <v>6</v>
      </c>
      <c r="T341">
        <v>0</v>
      </c>
      <c r="U341">
        <v>407.35</v>
      </c>
    </row>
    <row r="342" spans="1:21" x14ac:dyDescent="0.35">
      <c r="A342" t="s">
        <v>1731</v>
      </c>
      <c r="B342" s="2">
        <v>42623</v>
      </c>
      <c r="C342" s="2" t="str">
        <f t="shared" si="10"/>
        <v>September</v>
      </c>
      <c r="D342" s="2" t="str">
        <f t="shared" si="11"/>
        <v>2016</v>
      </c>
      <c r="E342" s="2" t="s">
        <v>6267</v>
      </c>
      <c r="F342" t="s">
        <v>52</v>
      </c>
      <c r="G342" t="s">
        <v>1732</v>
      </c>
      <c r="H342" t="s">
        <v>1733</v>
      </c>
      <c r="I342" t="s">
        <v>23</v>
      </c>
      <c r="J342" t="s">
        <v>24</v>
      </c>
      <c r="K342" t="s">
        <v>73</v>
      </c>
      <c r="L342" t="s">
        <v>56</v>
      </c>
      <c r="M342" t="s">
        <v>83</v>
      </c>
      <c r="N342" t="s">
        <v>1734</v>
      </c>
      <c r="O342" t="s">
        <v>67</v>
      </c>
      <c r="P342" t="s">
        <v>229</v>
      </c>
      <c r="Q342" t="s">
        <v>1735</v>
      </c>
      <c r="R342">
        <v>846.28</v>
      </c>
      <c r="S342">
        <v>4</v>
      </c>
      <c r="T342">
        <v>0</v>
      </c>
      <c r="U342">
        <v>-64.44</v>
      </c>
    </row>
    <row r="343" spans="1:21" x14ac:dyDescent="0.35">
      <c r="A343" t="s">
        <v>1736</v>
      </c>
      <c r="B343" s="2">
        <v>42989</v>
      </c>
      <c r="C343" s="2" t="str">
        <f t="shared" si="10"/>
        <v>September</v>
      </c>
      <c r="D343" s="2" t="str">
        <f t="shared" si="11"/>
        <v>2017</v>
      </c>
      <c r="E343" s="2" t="s">
        <v>6268</v>
      </c>
      <c r="F343" t="s">
        <v>42</v>
      </c>
      <c r="G343" t="s">
        <v>1737</v>
      </c>
      <c r="H343" t="s">
        <v>1738</v>
      </c>
      <c r="I343" t="s">
        <v>23</v>
      </c>
      <c r="J343" t="s">
        <v>24</v>
      </c>
      <c r="K343" t="s">
        <v>212</v>
      </c>
      <c r="L343" t="s">
        <v>90</v>
      </c>
      <c r="M343" t="s">
        <v>57</v>
      </c>
      <c r="N343" t="s">
        <v>1739</v>
      </c>
      <c r="O343" t="s">
        <v>48</v>
      </c>
      <c r="P343" t="s">
        <v>59</v>
      </c>
      <c r="Q343" t="s">
        <v>1740</v>
      </c>
      <c r="R343">
        <v>48.4</v>
      </c>
      <c r="S343">
        <v>8</v>
      </c>
      <c r="T343">
        <v>0.4</v>
      </c>
      <c r="U343">
        <v>21.71</v>
      </c>
    </row>
    <row r="344" spans="1:21" x14ac:dyDescent="0.35">
      <c r="A344" t="s">
        <v>1741</v>
      </c>
      <c r="B344" s="2">
        <v>43029</v>
      </c>
      <c r="C344" s="2" t="str">
        <f t="shared" si="10"/>
        <v>October</v>
      </c>
      <c r="D344" s="2" t="str">
        <f t="shared" si="11"/>
        <v>2017</v>
      </c>
      <c r="E344" s="2" t="s">
        <v>6269</v>
      </c>
      <c r="F344" t="s">
        <v>52</v>
      </c>
      <c r="G344" t="s">
        <v>1742</v>
      </c>
      <c r="H344" t="s">
        <v>1743</v>
      </c>
      <c r="I344" t="s">
        <v>55</v>
      </c>
      <c r="J344" t="s">
        <v>24</v>
      </c>
      <c r="K344" t="s">
        <v>103</v>
      </c>
      <c r="L344" t="s">
        <v>36</v>
      </c>
      <c r="M344" t="s">
        <v>27</v>
      </c>
      <c r="N344" t="s">
        <v>1744</v>
      </c>
      <c r="O344" t="s">
        <v>67</v>
      </c>
      <c r="P344" t="s">
        <v>92</v>
      </c>
      <c r="Q344" t="s">
        <v>1745</v>
      </c>
      <c r="R344">
        <v>1050.53</v>
      </c>
      <c r="S344">
        <v>1</v>
      </c>
      <c r="T344">
        <v>0</v>
      </c>
      <c r="U344">
        <v>370.97</v>
      </c>
    </row>
    <row r="345" spans="1:21" x14ac:dyDescent="0.35">
      <c r="A345" t="s">
        <v>1746</v>
      </c>
      <c r="B345" s="2">
        <v>43297</v>
      </c>
      <c r="C345" s="2" t="str">
        <f t="shared" si="10"/>
        <v>July</v>
      </c>
      <c r="D345" s="2" t="str">
        <f t="shared" si="11"/>
        <v>2018</v>
      </c>
      <c r="E345" s="2" t="s">
        <v>6270</v>
      </c>
      <c r="F345" t="s">
        <v>62</v>
      </c>
      <c r="G345" t="s">
        <v>1747</v>
      </c>
      <c r="H345" t="s">
        <v>1748</v>
      </c>
      <c r="I345" t="s">
        <v>55</v>
      </c>
      <c r="J345" t="s">
        <v>24</v>
      </c>
      <c r="K345" t="s">
        <v>133</v>
      </c>
      <c r="L345" t="s">
        <v>46</v>
      </c>
      <c r="M345" t="s">
        <v>83</v>
      </c>
      <c r="N345" t="s">
        <v>1749</v>
      </c>
      <c r="O345" t="s">
        <v>29</v>
      </c>
      <c r="P345" t="s">
        <v>39</v>
      </c>
      <c r="Q345" t="s">
        <v>1750</v>
      </c>
      <c r="R345">
        <v>563.47</v>
      </c>
      <c r="S345">
        <v>10</v>
      </c>
      <c r="T345">
        <v>0.2</v>
      </c>
      <c r="U345">
        <v>-164.43</v>
      </c>
    </row>
    <row r="346" spans="1:21" x14ac:dyDescent="0.35">
      <c r="A346" t="s">
        <v>1751</v>
      </c>
      <c r="B346" s="2">
        <v>43609</v>
      </c>
      <c r="C346" s="2" t="str">
        <f t="shared" si="10"/>
        <v>May</v>
      </c>
      <c r="D346" s="2" t="str">
        <f t="shared" si="11"/>
        <v>2019</v>
      </c>
      <c r="E346" s="2" t="s">
        <v>6138</v>
      </c>
      <c r="F346" t="s">
        <v>20</v>
      </c>
      <c r="G346" t="s">
        <v>1752</v>
      </c>
      <c r="H346" t="s">
        <v>1753</v>
      </c>
      <c r="I346" t="s">
        <v>55</v>
      </c>
      <c r="J346" t="s">
        <v>24</v>
      </c>
      <c r="K346" t="s">
        <v>97</v>
      </c>
      <c r="L346" t="s">
        <v>65</v>
      </c>
      <c r="M346" t="s">
        <v>27</v>
      </c>
      <c r="N346" t="s">
        <v>1754</v>
      </c>
      <c r="O346" t="s">
        <v>29</v>
      </c>
      <c r="P346" t="s">
        <v>110</v>
      </c>
      <c r="Q346" t="s">
        <v>1755</v>
      </c>
      <c r="R346">
        <v>858.15</v>
      </c>
      <c r="S346">
        <v>3</v>
      </c>
      <c r="T346">
        <v>0</v>
      </c>
      <c r="U346">
        <v>209.63</v>
      </c>
    </row>
    <row r="347" spans="1:21" x14ac:dyDescent="0.35">
      <c r="A347" t="s">
        <v>1756</v>
      </c>
      <c r="B347" s="2">
        <v>42809</v>
      </c>
      <c r="C347" s="2" t="str">
        <f t="shared" si="10"/>
        <v>March</v>
      </c>
      <c r="D347" s="2" t="str">
        <f t="shared" si="11"/>
        <v>2017</v>
      </c>
      <c r="E347" s="2" t="s">
        <v>5899</v>
      </c>
      <c r="F347" t="s">
        <v>62</v>
      </c>
      <c r="G347" t="s">
        <v>1757</v>
      </c>
      <c r="H347" t="s">
        <v>1758</v>
      </c>
      <c r="I347" t="s">
        <v>35</v>
      </c>
      <c r="J347" t="s">
        <v>24</v>
      </c>
      <c r="K347" t="s">
        <v>103</v>
      </c>
      <c r="L347" t="s">
        <v>56</v>
      </c>
      <c r="M347" t="s">
        <v>57</v>
      </c>
      <c r="N347" t="s">
        <v>1759</v>
      </c>
      <c r="O347" t="s">
        <v>29</v>
      </c>
      <c r="P347" t="s">
        <v>110</v>
      </c>
      <c r="Q347" t="s">
        <v>1760</v>
      </c>
      <c r="R347">
        <v>1473.86</v>
      </c>
      <c r="S347">
        <v>5</v>
      </c>
      <c r="T347">
        <v>0</v>
      </c>
      <c r="U347">
        <v>-172.92</v>
      </c>
    </row>
    <row r="348" spans="1:21" x14ac:dyDescent="0.35">
      <c r="A348" t="s">
        <v>1761</v>
      </c>
      <c r="B348" s="2">
        <v>42789</v>
      </c>
      <c r="C348" s="2" t="str">
        <f t="shared" si="10"/>
        <v>February</v>
      </c>
      <c r="D348" s="2" t="str">
        <f t="shared" si="11"/>
        <v>2017</v>
      </c>
      <c r="E348" s="2" t="s">
        <v>6271</v>
      </c>
      <c r="F348" t="s">
        <v>62</v>
      </c>
      <c r="G348" t="s">
        <v>1762</v>
      </c>
      <c r="H348" t="s">
        <v>1763</v>
      </c>
      <c r="I348" t="s">
        <v>55</v>
      </c>
      <c r="J348" t="s">
        <v>24</v>
      </c>
      <c r="K348" t="s">
        <v>212</v>
      </c>
      <c r="L348" t="s">
        <v>36</v>
      </c>
      <c r="M348" t="s">
        <v>57</v>
      </c>
      <c r="N348" t="s">
        <v>1764</v>
      </c>
      <c r="O348" t="s">
        <v>48</v>
      </c>
      <c r="P348" t="s">
        <v>128</v>
      </c>
      <c r="Q348" t="s">
        <v>1765</v>
      </c>
      <c r="R348">
        <v>238.05</v>
      </c>
      <c r="S348">
        <v>10</v>
      </c>
      <c r="T348">
        <v>0</v>
      </c>
      <c r="U348">
        <v>-68.86</v>
      </c>
    </row>
    <row r="349" spans="1:21" x14ac:dyDescent="0.35">
      <c r="A349" t="s">
        <v>1766</v>
      </c>
      <c r="B349" s="2">
        <v>42904</v>
      </c>
      <c r="C349" s="2" t="str">
        <f t="shared" si="10"/>
        <v>June</v>
      </c>
      <c r="D349" s="2" t="str">
        <f t="shared" si="11"/>
        <v>2017</v>
      </c>
      <c r="E349" s="2" t="s">
        <v>6215</v>
      </c>
      <c r="F349" t="s">
        <v>20</v>
      </c>
      <c r="G349" t="s">
        <v>1767</v>
      </c>
      <c r="H349" t="s">
        <v>1768</v>
      </c>
      <c r="I349" t="s">
        <v>23</v>
      </c>
      <c r="J349" t="s">
        <v>24</v>
      </c>
      <c r="K349" t="s">
        <v>73</v>
      </c>
      <c r="L349" t="s">
        <v>90</v>
      </c>
      <c r="M349" t="s">
        <v>83</v>
      </c>
      <c r="N349" t="s">
        <v>1769</v>
      </c>
      <c r="O349" t="s">
        <v>29</v>
      </c>
      <c r="P349" t="s">
        <v>155</v>
      </c>
      <c r="Q349" t="s">
        <v>1770</v>
      </c>
      <c r="R349">
        <v>1166.55</v>
      </c>
      <c r="S349">
        <v>10</v>
      </c>
      <c r="T349">
        <v>0</v>
      </c>
      <c r="U349">
        <v>234.55</v>
      </c>
    </row>
    <row r="350" spans="1:21" x14ac:dyDescent="0.35">
      <c r="A350" t="s">
        <v>1771</v>
      </c>
      <c r="B350" s="2">
        <v>43503</v>
      </c>
      <c r="C350" s="2" t="str">
        <f t="shared" si="10"/>
        <v>February</v>
      </c>
      <c r="D350" s="2" t="str">
        <f t="shared" si="11"/>
        <v>2019</v>
      </c>
      <c r="E350" s="2">
        <v>43771</v>
      </c>
      <c r="F350" t="s">
        <v>62</v>
      </c>
      <c r="G350" t="s">
        <v>1772</v>
      </c>
      <c r="H350" t="s">
        <v>1773</v>
      </c>
      <c r="I350" t="s">
        <v>35</v>
      </c>
      <c r="J350" t="s">
        <v>24</v>
      </c>
      <c r="K350" t="s">
        <v>73</v>
      </c>
      <c r="L350" t="s">
        <v>90</v>
      </c>
      <c r="M350" t="s">
        <v>74</v>
      </c>
      <c r="N350" t="s">
        <v>1774</v>
      </c>
      <c r="O350" t="s">
        <v>29</v>
      </c>
      <c r="P350" t="s">
        <v>110</v>
      </c>
      <c r="Q350" t="s">
        <v>1775</v>
      </c>
      <c r="R350">
        <v>1837.09</v>
      </c>
      <c r="S350">
        <v>4</v>
      </c>
      <c r="T350">
        <v>0</v>
      </c>
      <c r="U350">
        <v>236.35</v>
      </c>
    </row>
    <row r="351" spans="1:21" x14ac:dyDescent="0.35">
      <c r="A351" t="s">
        <v>1776</v>
      </c>
      <c r="B351" s="2">
        <v>42635</v>
      </c>
      <c r="C351" s="2" t="str">
        <f t="shared" si="10"/>
        <v>September</v>
      </c>
      <c r="D351" s="2" t="str">
        <f t="shared" si="11"/>
        <v>2016</v>
      </c>
      <c r="E351" s="2">
        <v>42410</v>
      </c>
      <c r="F351" t="s">
        <v>20</v>
      </c>
      <c r="G351" t="s">
        <v>1777</v>
      </c>
      <c r="H351" t="s">
        <v>1778</v>
      </c>
      <c r="I351" t="s">
        <v>23</v>
      </c>
      <c r="J351" t="s">
        <v>24</v>
      </c>
      <c r="K351" t="s">
        <v>81</v>
      </c>
      <c r="L351" t="s">
        <v>82</v>
      </c>
      <c r="M351" t="s">
        <v>57</v>
      </c>
      <c r="N351" t="s">
        <v>1779</v>
      </c>
      <c r="O351" t="s">
        <v>48</v>
      </c>
      <c r="P351" t="s">
        <v>76</v>
      </c>
      <c r="Q351" t="s">
        <v>1780</v>
      </c>
      <c r="R351">
        <v>1049.03</v>
      </c>
      <c r="S351">
        <v>7</v>
      </c>
      <c r="T351">
        <v>0</v>
      </c>
      <c r="U351">
        <v>250.24</v>
      </c>
    </row>
    <row r="352" spans="1:21" x14ac:dyDescent="0.35">
      <c r="A352" t="s">
        <v>1781</v>
      </c>
      <c r="B352" s="2">
        <v>43555</v>
      </c>
      <c r="C352" s="2" t="str">
        <f t="shared" si="10"/>
        <v>March</v>
      </c>
      <c r="D352" s="2" t="str">
        <f t="shared" si="11"/>
        <v>2019</v>
      </c>
      <c r="E352" s="2">
        <v>43559</v>
      </c>
      <c r="F352" t="s">
        <v>42</v>
      </c>
      <c r="G352" t="s">
        <v>1782</v>
      </c>
      <c r="H352" t="s">
        <v>1783</v>
      </c>
      <c r="I352" t="s">
        <v>23</v>
      </c>
      <c r="J352" t="s">
        <v>24</v>
      </c>
      <c r="K352" t="s">
        <v>103</v>
      </c>
      <c r="L352" t="s">
        <v>82</v>
      </c>
      <c r="M352" t="s">
        <v>57</v>
      </c>
      <c r="N352" t="s">
        <v>1784</v>
      </c>
      <c r="O352" t="s">
        <v>48</v>
      </c>
      <c r="P352" t="s">
        <v>59</v>
      </c>
      <c r="Q352" t="s">
        <v>1785</v>
      </c>
      <c r="R352">
        <v>314.2</v>
      </c>
      <c r="S352">
        <v>9</v>
      </c>
      <c r="T352">
        <v>0</v>
      </c>
      <c r="U352">
        <v>141.38</v>
      </c>
    </row>
    <row r="353" spans="1:21" x14ac:dyDescent="0.35">
      <c r="A353" t="s">
        <v>1786</v>
      </c>
      <c r="B353" s="2">
        <v>43071</v>
      </c>
      <c r="C353" s="2" t="str">
        <f t="shared" si="10"/>
        <v>December</v>
      </c>
      <c r="D353" s="2" t="str">
        <f t="shared" si="11"/>
        <v>2017</v>
      </c>
      <c r="E353" s="2">
        <v>43020</v>
      </c>
      <c r="F353" t="s">
        <v>20</v>
      </c>
      <c r="G353" t="s">
        <v>1787</v>
      </c>
      <c r="H353" t="s">
        <v>1788</v>
      </c>
      <c r="I353" t="s">
        <v>23</v>
      </c>
      <c r="J353" t="s">
        <v>24</v>
      </c>
      <c r="K353" t="s">
        <v>103</v>
      </c>
      <c r="L353" t="s">
        <v>115</v>
      </c>
      <c r="M353" t="s">
        <v>57</v>
      </c>
      <c r="N353" t="s">
        <v>1789</v>
      </c>
      <c r="O353" t="s">
        <v>29</v>
      </c>
      <c r="P353" t="s">
        <v>110</v>
      </c>
      <c r="Q353" t="s">
        <v>1790</v>
      </c>
      <c r="R353">
        <v>1423.88</v>
      </c>
      <c r="S353">
        <v>3</v>
      </c>
      <c r="T353">
        <v>0</v>
      </c>
      <c r="U353">
        <v>331.4</v>
      </c>
    </row>
    <row r="354" spans="1:21" x14ac:dyDescent="0.35">
      <c r="A354" t="s">
        <v>1791</v>
      </c>
      <c r="B354" s="2">
        <v>43654</v>
      </c>
      <c r="C354" s="2" t="str">
        <f t="shared" si="10"/>
        <v>July</v>
      </c>
      <c r="D354" s="2" t="str">
        <f t="shared" si="11"/>
        <v>2019</v>
      </c>
      <c r="E354" s="2" t="s">
        <v>6272</v>
      </c>
      <c r="F354" t="s">
        <v>62</v>
      </c>
      <c r="G354" t="s">
        <v>1792</v>
      </c>
      <c r="H354" t="s">
        <v>1793</v>
      </c>
      <c r="I354" t="s">
        <v>55</v>
      </c>
      <c r="J354" t="s">
        <v>24</v>
      </c>
      <c r="K354" t="s">
        <v>212</v>
      </c>
      <c r="L354" t="s">
        <v>46</v>
      </c>
      <c r="M354" t="s">
        <v>83</v>
      </c>
      <c r="N354" t="s">
        <v>1794</v>
      </c>
      <c r="O354" t="s">
        <v>48</v>
      </c>
      <c r="P354" t="s">
        <v>49</v>
      </c>
      <c r="Q354" t="s">
        <v>1795</v>
      </c>
      <c r="R354">
        <v>444.25</v>
      </c>
      <c r="S354">
        <v>2</v>
      </c>
      <c r="T354">
        <v>0.3</v>
      </c>
      <c r="U354">
        <v>-70.3</v>
      </c>
    </row>
    <row r="355" spans="1:21" x14ac:dyDescent="0.35">
      <c r="A355" t="s">
        <v>1796</v>
      </c>
      <c r="B355" s="2">
        <v>43293</v>
      </c>
      <c r="C355" s="2" t="str">
        <f t="shared" si="10"/>
        <v>July</v>
      </c>
      <c r="D355" s="2" t="str">
        <f t="shared" si="11"/>
        <v>2018</v>
      </c>
      <c r="E355" s="2" t="s">
        <v>5938</v>
      </c>
      <c r="F355" t="s">
        <v>20</v>
      </c>
      <c r="G355" t="s">
        <v>1797</v>
      </c>
      <c r="H355" t="s">
        <v>1798</v>
      </c>
      <c r="I355" t="s">
        <v>55</v>
      </c>
      <c r="J355" t="s">
        <v>24</v>
      </c>
      <c r="K355" t="s">
        <v>73</v>
      </c>
      <c r="L355" t="s">
        <v>36</v>
      </c>
      <c r="M355" t="s">
        <v>74</v>
      </c>
      <c r="N355" t="s">
        <v>1799</v>
      </c>
      <c r="O355" t="s">
        <v>29</v>
      </c>
      <c r="P355" t="s">
        <v>110</v>
      </c>
      <c r="Q355" t="s">
        <v>1800</v>
      </c>
      <c r="R355">
        <v>373.48</v>
      </c>
      <c r="S355">
        <v>10</v>
      </c>
      <c r="T355">
        <v>0.2</v>
      </c>
      <c r="U355">
        <v>-13.08</v>
      </c>
    </row>
    <row r="356" spans="1:21" x14ac:dyDescent="0.35">
      <c r="A356" t="s">
        <v>1801</v>
      </c>
      <c r="B356" s="2">
        <v>42687</v>
      </c>
      <c r="C356" s="2" t="str">
        <f t="shared" si="10"/>
        <v>November</v>
      </c>
      <c r="D356" s="2" t="str">
        <f t="shared" si="11"/>
        <v>2016</v>
      </c>
      <c r="E356" s="2" t="s">
        <v>6273</v>
      </c>
      <c r="F356" t="s">
        <v>20</v>
      </c>
      <c r="G356" t="s">
        <v>1802</v>
      </c>
      <c r="H356" t="s">
        <v>1803</v>
      </c>
      <c r="I356" t="s">
        <v>35</v>
      </c>
      <c r="J356" t="s">
        <v>24</v>
      </c>
      <c r="K356" t="s">
        <v>89</v>
      </c>
      <c r="L356" t="s">
        <v>90</v>
      </c>
      <c r="M356" t="s">
        <v>83</v>
      </c>
      <c r="N356" t="s">
        <v>1804</v>
      </c>
      <c r="O356" t="s">
        <v>67</v>
      </c>
      <c r="P356" t="s">
        <v>92</v>
      </c>
      <c r="Q356" t="s">
        <v>1805</v>
      </c>
      <c r="R356">
        <v>784</v>
      </c>
      <c r="S356">
        <v>1</v>
      </c>
      <c r="T356">
        <v>0.3</v>
      </c>
      <c r="U356">
        <v>281.58999999999997</v>
      </c>
    </row>
    <row r="357" spans="1:21" x14ac:dyDescent="0.35">
      <c r="A357" t="s">
        <v>1806</v>
      </c>
      <c r="B357" s="2">
        <v>42712</v>
      </c>
      <c r="C357" s="2" t="str">
        <f t="shared" si="10"/>
        <v>December</v>
      </c>
      <c r="D357" s="2" t="str">
        <f t="shared" si="11"/>
        <v>2016</v>
      </c>
      <c r="E357" s="2" t="s">
        <v>5921</v>
      </c>
      <c r="F357" t="s">
        <v>42</v>
      </c>
      <c r="G357" t="s">
        <v>1807</v>
      </c>
      <c r="H357" t="s">
        <v>1808</v>
      </c>
      <c r="I357" t="s">
        <v>23</v>
      </c>
      <c r="J357" t="s">
        <v>24</v>
      </c>
      <c r="K357" t="s">
        <v>25</v>
      </c>
      <c r="L357" t="s">
        <v>65</v>
      </c>
      <c r="M357" t="s">
        <v>74</v>
      </c>
      <c r="N357" t="s">
        <v>1809</v>
      </c>
      <c r="O357" t="s">
        <v>48</v>
      </c>
      <c r="P357" t="s">
        <v>76</v>
      </c>
      <c r="Q357" t="s">
        <v>1810</v>
      </c>
      <c r="R357">
        <v>1889.17</v>
      </c>
      <c r="S357">
        <v>4</v>
      </c>
      <c r="T357">
        <v>0.1</v>
      </c>
      <c r="U357">
        <v>-130.69</v>
      </c>
    </row>
    <row r="358" spans="1:21" x14ac:dyDescent="0.35">
      <c r="A358" t="s">
        <v>1811</v>
      </c>
      <c r="B358" s="2">
        <v>43205</v>
      </c>
      <c r="C358" s="2" t="str">
        <f t="shared" si="10"/>
        <v>April</v>
      </c>
      <c r="D358" s="2" t="str">
        <f t="shared" si="11"/>
        <v>2018</v>
      </c>
      <c r="E358" s="2" t="s">
        <v>6274</v>
      </c>
      <c r="F358" t="s">
        <v>62</v>
      </c>
      <c r="G358" t="s">
        <v>1812</v>
      </c>
      <c r="H358" t="s">
        <v>1813</v>
      </c>
      <c r="I358" t="s">
        <v>55</v>
      </c>
      <c r="J358" t="s">
        <v>24</v>
      </c>
      <c r="K358" t="s">
        <v>81</v>
      </c>
      <c r="L358" t="s">
        <v>37</v>
      </c>
      <c r="M358" t="s">
        <v>74</v>
      </c>
      <c r="N358" t="s">
        <v>1814</v>
      </c>
      <c r="O358" t="s">
        <v>29</v>
      </c>
      <c r="P358" t="s">
        <v>155</v>
      </c>
      <c r="Q358" t="s">
        <v>1815</v>
      </c>
      <c r="R358">
        <v>760.14</v>
      </c>
      <c r="S358">
        <v>1</v>
      </c>
      <c r="T358">
        <v>0</v>
      </c>
      <c r="U358">
        <v>-143.1</v>
      </c>
    </row>
    <row r="359" spans="1:21" x14ac:dyDescent="0.35">
      <c r="A359" t="s">
        <v>1816</v>
      </c>
      <c r="B359" s="2">
        <v>43692</v>
      </c>
      <c r="C359" s="2" t="str">
        <f t="shared" si="10"/>
        <v>August</v>
      </c>
      <c r="D359" s="2" t="str">
        <f t="shared" si="11"/>
        <v>2019</v>
      </c>
      <c r="E359" s="2" t="s">
        <v>6192</v>
      </c>
      <c r="F359" t="s">
        <v>20</v>
      </c>
      <c r="G359" t="s">
        <v>1817</v>
      </c>
      <c r="H359" t="s">
        <v>1818</v>
      </c>
      <c r="I359" t="s">
        <v>35</v>
      </c>
      <c r="J359" t="s">
        <v>24</v>
      </c>
      <c r="K359" t="s">
        <v>81</v>
      </c>
      <c r="L359" t="s">
        <v>37</v>
      </c>
      <c r="M359" t="s">
        <v>74</v>
      </c>
      <c r="N359" t="s">
        <v>1819</v>
      </c>
      <c r="O359" t="s">
        <v>48</v>
      </c>
      <c r="P359" t="s">
        <v>59</v>
      </c>
      <c r="Q359" t="s">
        <v>1820</v>
      </c>
      <c r="R359">
        <v>658.48</v>
      </c>
      <c r="S359">
        <v>10</v>
      </c>
      <c r="T359">
        <v>0.4</v>
      </c>
      <c r="U359">
        <v>-44.26</v>
      </c>
    </row>
    <row r="360" spans="1:21" x14ac:dyDescent="0.35">
      <c r="A360" t="s">
        <v>1821</v>
      </c>
      <c r="B360" s="2">
        <v>43730</v>
      </c>
      <c r="C360" s="2" t="str">
        <f t="shared" si="10"/>
        <v>September</v>
      </c>
      <c r="D360" s="2" t="str">
        <f t="shared" si="11"/>
        <v>2019</v>
      </c>
      <c r="E360" s="2" t="s">
        <v>5953</v>
      </c>
      <c r="F360" t="s">
        <v>20</v>
      </c>
      <c r="G360" t="s">
        <v>1822</v>
      </c>
      <c r="H360" t="s">
        <v>1823</v>
      </c>
      <c r="I360" t="s">
        <v>23</v>
      </c>
      <c r="J360" t="s">
        <v>24</v>
      </c>
      <c r="K360" t="s">
        <v>25</v>
      </c>
      <c r="L360" t="s">
        <v>36</v>
      </c>
      <c r="M360" t="s">
        <v>27</v>
      </c>
      <c r="N360" t="s">
        <v>1824</v>
      </c>
      <c r="O360" t="s">
        <v>29</v>
      </c>
      <c r="P360" t="s">
        <v>155</v>
      </c>
      <c r="Q360" t="s">
        <v>1825</v>
      </c>
      <c r="R360">
        <v>226.78</v>
      </c>
      <c r="S360">
        <v>8</v>
      </c>
      <c r="T360">
        <v>0</v>
      </c>
      <c r="U360">
        <v>49.62</v>
      </c>
    </row>
    <row r="361" spans="1:21" x14ac:dyDescent="0.35">
      <c r="A361" t="s">
        <v>1826</v>
      </c>
      <c r="B361" s="2">
        <v>43384</v>
      </c>
      <c r="C361" s="2" t="str">
        <f t="shared" si="10"/>
        <v>October</v>
      </c>
      <c r="D361" s="2" t="str">
        <f t="shared" si="11"/>
        <v>2018</v>
      </c>
      <c r="E361" s="2" t="s">
        <v>6037</v>
      </c>
      <c r="F361" t="s">
        <v>52</v>
      </c>
      <c r="G361" t="s">
        <v>1827</v>
      </c>
      <c r="H361" t="s">
        <v>1828</v>
      </c>
      <c r="I361" t="s">
        <v>35</v>
      </c>
      <c r="J361" t="s">
        <v>24</v>
      </c>
      <c r="K361" t="s">
        <v>81</v>
      </c>
      <c r="L361" t="s">
        <v>37</v>
      </c>
      <c r="M361" t="s">
        <v>83</v>
      </c>
      <c r="N361" t="s">
        <v>1829</v>
      </c>
      <c r="O361" t="s">
        <v>29</v>
      </c>
      <c r="P361" t="s">
        <v>155</v>
      </c>
      <c r="Q361" t="s">
        <v>1830</v>
      </c>
      <c r="R361">
        <v>1214.18</v>
      </c>
      <c r="S361">
        <v>9</v>
      </c>
      <c r="T361">
        <v>0.4</v>
      </c>
      <c r="U361">
        <v>-134.66</v>
      </c>
    </row>
    <row r="362" spans="1:21" x14ac:dyDescent="0.35">
      <c r="A362" t="s">
        <v>1831</v>
      </c>
      <c r="B362" s="2">
        <v>43059</v>
      </c>
      <c r="C362" s="2" t="str">
        <f t="shared" si="10"/>
        <v>November</v>
      </c>
      <c r="D362" s="2" t="str">
        <f t="shared" si="11"/>
        <v>2017</v>
      </c>
      <c r="E362" s="2" t="s">
        <v>6075</v>
      </c>
      <c r="F362" t="s">
        <v>52</v>
      </c>
      <c r="G362" t="s">
        <v>1832</v>
      </c>
      <c r="H362" t="s">
        <v>1833</v>
      </c>
      <c r="I362" t="s">
        <v>55</v>
      </c>
      <c r="J362" t="s">
        <v>24</v>
      </c>
      <c r="K362" t="s">
        <v>73</v>
      </c>
      <c r="L362" t="s">
        <v>170</v>
      </c>
      <c r="M362" t="s">
        <v>57</v>
      </c>
      <c r="N362" t="s">
        <v>1834</v>
      </c>
      <c r="O362" t="s">
        <v>67</v>
      </c>
      <c r="P362" t="s">
        <v>117</v>
      </c>
      <c r="Q362" t="s">
        <v>1835</v>
      </c>
      <c r="R362">
        <v>782.91</v>
      </c>
      <c r="S362">
        <v>3</v>
      </c>
      <c r="T362">
        <v>0.3</v>
      </c>
      <c r="U362">
        <v>-158.88</v>
      </c>
    </row>
    <row r="363" spans="1:21" x14ac:dyDescent="0.35">
      <c r="A363" t="s">
        <v>1836</v>
      </c>
      <c r="B363" s="2">
        <v>43539</v>
      </c>
      <c r="C363" s="2" t="str">
        <f t="shared" si="10"/>
        <v>March</v>
      </c>
      <c r="D363" s="2" t="str">
        <f t="shared" si="11"/>
        <v>2019</v>
      </c>
      <c r="E363" s="2" t="s">
        <v>6275</v>
      </c>
      <c r="F363" t="s">
        <v>52</v>
      </c>
      <c r="G363" t="s">
        <v>1837</v>
      </c>
      <c r="H363" t="s">
        <v>1838</v>
      </c>
      <c r="I363" t="s">
        <v>55</v>
      </c>
      <c r="J363" t="s">
        <v>24</v>
      </c>
      <c r="K363" t="s">
        <v>36</v>
      </c>
      <c r="L363" t="s">
        <v>56</v>
      </c>
      <c r="M363" t="s">
        <v>27</v>
      </c>
      <c r="N363" t="s">
        <v>1839</v>
      </c>
      <c r="O363" t="s">
        <v>67</v>
      </c>
      <c r="P363" t="s">
        <v>117</v>
      </c>
      <c r="Q363" t="s">
        <v>1840</v>
      </c>
      <c r="R363">
        <v>110.44</v>
      </c>
      <c r="S363">
        <v>3</v>
      </c>
      <c r="T363">
        <v>0</v>
      </c>
      <c r="U363">
        <v>-19.66</v>
      </c>
    </row>
    <row r="364" spans="1:21" x14ac:dyDescent="0.35">
      <c r="A364" t="s">
        <v>1841</v>
      </c>
      <c r="B364" s="2">
        <v>43739</v>
      </c>
      <c r="C364" s="2" t="str">
        <f t="shared" si="10"/>
        <v>October</v>
      </c>
      <c r="D364" s="2" t="str">
        <f t="shared" si="11"/>
        <v>2019</v>
      </c>
      <c r="E364" s="2">
        <v>43595</v>
      </c>
      <c r="F364" t="s">
        <v>20</v>
      </c>
      <c r="G364" t="s">
        <v>1842</v>
      </c>
      <c r="H364" t="s">
        <v>1843</v>
      </c>
      <c r="I364" t="s">
        <v>35</v>
      </c>
      <c r="J364" t="s">
        <v>24</v>
      </c>
      <c r="K364" t="s">
        <v>97</v>
      </c>
      <c r="L364" t="s">
        <v>90</v>
      </c>
      <c r="M364" t="s">
        <v>57</v>
      </c>
      <c r="N364" t="s">
        <v>1844</v>
      </c>
      <c r="O364" t="s">
        <v>67</v>
      </c>
      <c r="P364" t="s">
        <v>229</v>
      </c>
      <c r="Q364" t="s">
        <v>1845</v>
      </c>
      <c r="R364">
        <v>1976.58</v>
      </c>
      <c r="S364">
        <v>9</v>
      </c>
      <c r="T364">
        <v>0.1</v>
      </c>
      <c r="U364">
        <v>198.26</v>
      </c>
    </row>
    <row r="365" spans="1:21" x14ac:dyDescent="0.35">
      <c r="A365" t="s">
        <v>1846</v>
      </c>
      <c r="B365" s="2">
        <v>43110</v>
      </c>
      <c r="C365" s="2" t="str">
        <f t="shared" si="10"/>
        <v>January</v>
      </c>
      <c r="D365" s="2" t="str">
        <f t="shared" si="11"/>
        <v>2018</v>
      </c>
      <c r="E365" s="2" t="s">
        <v>6183</v>
      </c>
      <c r="F365" t="s">
        <v>62</v>
      </c>
      <c r="G365" t="s">
        <v>1847</v>
      </c>
      <c r="H365" t="s">
        <v>1848</v>
      </c>
      <c r="I365" t="s">
        <v>55</v>
      </c>
      <c r="J365" t="s">
        <v>24</v>
      </c>
      <c r="K365" t="s">
        <v>45</v>
      </c>
      <c r="L365" t="s">
        <v>65</v>
      </c>
      <c r="M365" t="s">
        <v>27</v>
      </c>
      <c r="N365" t="s">
        <v>1849</v>
      </c>
      <c r="O365" t="s">
        <v>29</v>
      </c>
      <c r="P365" t="s">
        <v>110</v>
      </c>
      <c r="Q365" t="s">
        <v>907</v>
      </c>
      <c r="R365">
        <v>282.76</v>
      </c>
      <c r="S365">
        <v>7</v>
      </c>
      <c r="T365">
        <v>0.4</v>
      </c>
      <c r="U365">
        <v>121.34</v>
      </c>
    </row>
    <row r="366" spans="1:21" x14ac:dyDescent="0.35">
      <c r="A366" t="s">
        <v>1850</v>
      </c>
      <c r="B366" s="2">
        <v>43252</v>
      </c>
      <c r="C366" s="2" t="str">
        <f t="shared" si="10"/>
        <v>June</v>
      </c>
      <c r="D366" s="2" t="str">
        <f t="shared" si="11"/>
        <v>2018</v>
      </c>
      <c r="E366" s="2">
        <v>43165</v>
      </c>
      <c r="F366" t="s">
        <v>62</v>
      </c>
      <c r="G366" t="s">
        <v>1851</v>
      </c>
      <c r="H366" t="s">
        <v>1852</v>
      </c>
      <c r="I366" t="s">
        <v>35</v>
      </c>
      <c r="J366" t="s">
        <v>24</v>
      </c>
      <c r="K366" t="s">
        <v>133</v>
      </c>
      <c r="L366" t="s">
        <v>26</v>
      </c>
      <c r="M366" t="s">
        <v>27</v>
      </c>
      <c r="N366" t="s">
        <v>1853</v>
      </c>
      <c r="O366" t="s">
        <v>48</v>
      </c>
      <c r="P366" t="s">
        <v>76</v>
      </c>
      <c r="Q366" t="s">
        <v>1854</v>
      </c>
      <c r="R366">
        <v>1194.17</v>
      </c>
      <c r="S366">
        <v>8</v>
      </c>
      <c r="T366">
        <v>0.1</v>
      </c>
      <c r="U366">
        <v>408.01</v>
      </c>
    </row>
    <row r="367" spans="1:21" x14ac:dyDescent="0.35">
      <c r="A367" t="s">
        <v>1855</v>
      </c>
      <c r="B367" s="2">
        <v>43131</v>
      </c>
      <c r="C367" s="2" t="str">
        <f t="shared" si="10"/>
        <v>January</v>
      </c>
      <c r="D367" s="2" t="str">
        <f t="shared" si="11"/>
        <v>2018</v>
      </c>
      <c r="E367" s="2">
        <v>43222</v>
      </c>
      <c r="F367" t="s">
        <v>52</v>
      </c>
      <c r="G367" t="s">
        <v>1856</v>
      </c>
      <c r="H367" t="s">
        <v>1857</v>
      </c>
      <c r="I367" t="s">
        <v>55</v>
      </c>
      <c r="J367" t="s">
        <v>24</v>
      </c>
      <c r="K367" t="s">
        <v>45</v>
      </c>
      <c r="L367" t="s">
        <v>37</v>
      </c>
      <c r="M367" t="s">
        <v>83</v>
      </c>
      <c r="N367" t="s">
        <v>1858</v>
      </c>
      <c r="O367" t="s">
        <v>67</v>
      </c>
      <c r="P367" t="s">
        <v>92</v>
      </c>
      <c r="Q367" t="s">
        <v>1859</v>
      </c>
      <c r="R367">
        <v>1577.62</v>
      </c>
      <c r="S367">
        <v>8</v>
      </c>
      <c r="T367">
        <v>0.2</v>
      </c>
      <c r="U367">
        <v>308.86</v>
      </c>
    </row>
    <row r="368" spans="1:21" x14ac:dyDescent="0.35">
      <c r="A368" t="s">
        <v>1860</v>
      </c>
      <c r="B368" s="2">
        <v>42846</v>
      </c>
      <c r="C368" s="2" t="str">
        <f t="shared" si="10"/>
        <v>April</v>
      </c>
      <c r="D368" s="2" t="str">
        <f t="shared" si="11"/>
        <v>2017</v>
      </c>
      <c r="E368" s="2" t="s">
        <v>6081</v>
      </c>
      <c r="F368" t="s">
        <v>42</v>
      </c>
      <c r="G368" t="s">
        <v>1861</v>
      </c>
      <c r="H368" t="s">
        <v>1862</v>
      </c>
      <c r="I368" t="s">
        <v>55</v>
      </c>
      <c r="J368" t="s">
        <v>24</v>
      </c>
      <c r="K368" t="s">
        <v>73</v>
      </c>
      <c r="L368" t="s">
        <v>65</v>
      </c>
      <c r="M368" t="s">
        <v>57</v>
      </c>
      <c r="N368" t="s">
        <v>1863</v>
      </c>
      <c r="O368" t="s">
        <v>29</v>
      </c>
      <c r="P368" t="s">
        <v>110</v>
      </c>
      <c r="Q368" t="s">
        <v>1864</v>
      </c>
      <c r="R368">
        <v>1441.69</v>
      </c>
      <c r="S368">
        <v>5</v>
      </c>
      <c r="T368">
        <v>0</v>
      </c>
      <c r="U368">
        <v>602.38</v>
      </c>
    </row>
    <row r="369" spans="1:21" x14ac:dyDescent="0.35">
      <c r="A369" t="s">
        <v>1865</v>
      </c>
      <c r="B369" s="2">
        <v>42478</v>
      </c>
      <c r="C369" s="2" t="str">
        <f t="shared" si="10"/>
        <v>April</v>
      </c>
      <c r="D369" s="2" t="str">
        <f t="shared" si="11"/>
        <v>2016</v>
      </c>
      <c r="E369" s="2" t="s">
        <v>5929</v>
      </c>
      <c r="F369" t="s">
        <v>20</v>
      </c>
      <c r="G369" t="s">
        <v>1866</v>
      </c>
      <c r="H369" t="s">
        <v>1867</v>
      </c>
      <c r="I369" t="s">
        <v>23</v>
      </c>
      <c r="J369" t="s">
        <v>24</v>
      </c>
      <c r="K369" t="s">
        <v>36</v>
      </c>
      <c r="L369" t="s">
        <v>26</v>
      </c>
      <c r="M369" t="s">
        <v>83</v>
      </c>
      <c r="N369" t="s">
        <v>1868</v>
      </c>
      <c r="O369" t="s">
        <v>29</v>
      </c>
      <c r="P369" t="s">
        <v>110</v>
      </c>
      <c r="Q369" t="s">
        <v>1869</v>
      </c>
      <c r="R369">
        <v>1788.31</v>
      </c>
      <c r="S369">
        <v>6</v>
      </c>
      <c r="T369">
        <v>0.1</v>
      </c>
      <c r="U369">
        <v>-505.6</v>
      </c>
    </row>
    <row r="370" spans="1:21" x14ac:dyDescent="0.35">
      <c r="A370" t="s">
        <v>1870</v>
      </c>
      <c r="B370" s="2">
        <v>42581</v>
      </c>
      <c r="C370" s="2" t="str">
        <f t="shared" si="10"/>
        <v>July</v>
      </c>
      <c r="D370" s="2" t="str">
        <f t="shared" si="11"/>
        <v>2016</v>
      </c>
      <c r="E370" s="2">
        <v>42377</v>
      </c>
      <c r="F370" t="s">
        <v>42</v>
      </c>
      <c r="G370" t="s">
        <v>1871</v>
      </c>
      <c r="H370" t="s">
        <v>1872</v>
      </c>
      <c r="I370" t="s">
        <v>55</v>
      </c>
      <c r="J370" t="s">
        <v>24</v>
      </c>
      <c r="K370" t="s">
        <v>212</v>
      </c>
      <c r="L370" t="s">
        <v>82</v>
      </c>
      <c r="M370" t="s">
        <v>27</v>
      </c>
      <c r="N370" t="s">
        <v>1873</v>
      </c>
      <c r="O370" t="s">
        <v>29</v>
      </c>
      <c r="P370" t="s">
        <v>30</v>
      </c>
      <c r="Q370" t="s">
        <v>1874</v>
      </c>
      <c r="R370">
        <v>295.68</v>
      </c>
      <c r="S370">
        <v>9</v>
      </c>
      <c r="T370">
        <v>0</v>
      </c>
      <c r="U370">
        <v>-31.26</v>
      </c>
    </row>
    <row r="371" spans="1:21" x14ac:dyDescent="0.35">
      <c r="A371" t="s">
        <v>1875</v>
      </c>
      <c r="B371" s="2">
        <v>43607</v>
      </c>
      <c r="C371" s="2" t="str">
        <f t="shared" si="10"/>
        <v>May</v>
      </c>
      <c r="D371" s="2" t="str">
        <f t="shared" si="11"/>
        <v>2019</v>
      </c>
      <c r="E371" s="2" t="s">
        <v>6276</v>
      </c>
      <c r="F371" t="s">
        <v>62</v>
      </c>
      <c r="G371" t="s">
        <v>1876</v>
      </c>
      <c r="H371" t="s">
        <v>1877</v>
      </c>
      <c r="I371" t="s">
        <v>23</v>
      </c>
      <c r="J371" t="s">
        <v>24</v>
      </c>
      <c r="K371" t="s">
        <v>73</v>
      </c>
      <c r="L371" t="s">
        <v>26</v>
      </c>
      <c r="M371" t="s">
        <v>57</v>
      </c>
      <c r="N371" t="s">
        <v>1878</v>
      </c>
      <c r="O371" t="s">
        <v>48</v>
      </c>
      <c r="P371" t="s">
        <v>128</v>
      </c>
      <c r="Q371" t="s">
        <v>1879</v>
      </c>
      <c r="R371">
        <v>1413.95</v>
      </c>
      <c r="S371">
        <v>3</v>
      </c>
      <c r="T371">
        <v>0</v>
      </c>
      <c r="U371">
        <v>-156.87</v>
      </c>
    </row>
    <row r="372" spans="1:21" x14ac:dyDescent="0.35">
      <c r="A372" t="s">
        <v>1880</v>
      </c>
      <c r="B372" s="2">
        <v>43660</v>
      </c>
      <c r="C372" s="2" t="str">
        <f t="shared" si="10"/>
        <v>July</v>
      </c>
      <c r="D372" s="2" t="str">
        <f t="shared" si="11"/>
        <v>2019</v>
      </c>
      <c r="E372" s="2" t="s">
        <v>6087</v>
      </c>
      <c r="F372" t="s">
        <v>42</v>
      </c>
      <c r="G372" t="s">
        <v>1881</v>
      </c>
      <c r="H372" t="s">
        <v>1882</v>
      </c>
      <c r="I372" t="s">
        <v>35</v>
      </c>
      <c r="J372" t="s">
        <v>24</v>
      </c>
      <c r="K372" t="s">
        <v>133</v>
      </c>
      <c r="L372" t="s">
        <v>65</v>
      </c>
      <c r="M372" t="s">
        <v>74</v>
      </c>
      <c r="N372" t="s">
        <v>1883</v>
      </c>
      <c r="O372" t="s">
        <v>67</v>
      </c>
      <c r="P372" t="s">
        <v>197</v>
      </c>
      <c r="Q372" t="s">
        <v>1884</v>
      </c>
      <c r="R372">
        <v>1921.08</v>
      </c>
      <c r="S372">
        <v>8</v>
      </c>
      <c r="T372">
        <v>0</v>
      </c>
      <c r="U372">
        <v>454.56</v>
      </c>
    </row>
    <row r="373" spans="1:21" x14ac:dyDescent="0.35">
      <c r="A373" t="s">
        <v>1885</v>
      </c>
      <c r="B373" s="2">
        <v>43194</v>
      </c>
      <c r="C373" s="2" t="str">
        <f t="shared" si="10"/>
        <v>April</v>
      </c>
      <c r="D373" s="2" t="str">
        <f t="shared" si="11"/>
        <v>2018</v>
      </c>
      <c r="E373" s="2">
        <v>43224</v>
      </c>
      <c r="F373" t="s">
        <v>52</v>
      </c>
      <c r="G373" t="s">
        <v>1886</v>
      </c>
      <c r="H373" t="s">
        <v>1887</v>
      </c>
      <c r="I373" t="s">
        <v>35</v>
      </c>
      <c r="J373" t="s">
        <v>24</v>
      </c>
      <c r="K373" t="s">
        <v>103</v>
      </c>
      <c r="L373" t="s">
        <v>65</v>
      </c>
      <c r="M373" t="s">
        <v>83</v>
      </c>
      <c r="N373" t="s">
        <v>1888</v>
      </c>
      <c r="O373" t="s">
        <v>48</v>
      </c>
      <c r="P373" t="s">
        <v>128</v>
      </c>
      <c r="Q373" t="s">
        <v>1889</v>
      </c>
      <c r="R373">
        <v>1457.93</v>
      </c>
      <c r="S373">
        <v>4</v>
      </c>
      <c r="T373">
        <v>0.4</v>
      </c>
      <c r="U373">
        <v>-372.06</v>
      </c>
    </row>
    <row r="374" spans="1:21" x14ac:dyDescent="0.35">
      <c r="A374" t="s">
        <v>1890</v>
      </c>
      <c r="B374" s="2">
        <v>43654</v>
      </c>
      <c r="C374" s="2" t="str">
        <f t="shared" si="10"/>
        <v>July</v>
      </c>
      <c r="D374" s="2" t="str">
        <f t="shared" si="11"/>
        <v>2019</v>
      </c>
      <c r="E374" s="2">
        <v>43745</v>
      </c>
      <c r="F374" t="s">
        <v>62</v>
      </c>
      <c r="G374" t="s">
        <v>1891</v>
      </c>
      <c r="H374" t="s">
        <v>1892</v>
      </c>
      <c r="I374" t="s">
        <v>23</v>
      </c>
      <c r="J374" t="s">
        <v>24</v>
      </c>
      <c r="K374" t="s">
        <v>73</v>
      </c>
      <c r="L374" t="s">
        <v>56</v>
      </c>
      <c r="M374" t="s">
        <v>57</v>
      </c>
      <c r="N374" t="s">
        <v>1893</v>
      </c>
      <c r="O374" t="s">
        <v>48</v>
      </c>
      <c r="P374" t="s">
        <v>49</v>
      </c>
      <c r="Q374" t="s">
        <v>1894</v>
      </c>
      <c r="R374">
        <v>249.45</v>
      </c>
      <c r="S374">
        <v>3</v>
      </c>
      <c r="T374">
        <v>0.3</v>
      </c>
      <c r="U374">
        <v>98.05</v>
      </c>
    </row>
    <row r="375" spans="1:21" x14ac:dyDescent="0.35">
      <c r="A375" t="s">
        <v>1895</v>
      </c>
      <c r="B375" s="2">
        <v>42391</v>
      </c>
      <c r="C375" s="2" t="str">
        <f t="shared" si="10"/>
        <v>January</v>
      </c>
      <c r="D375" s="2" t="str">
        <f t="shared" si="11"/>
        <v>2016</v>
      </c>
      <c r="E375" s="2" t="s">
        <v>6277</v>
      </c>
      <c r="F375" t="s">
        <v>20</v>
      </c>
      <c r="G375" t="s">
        <v>1896</v>
      </c>
      <c r="H375" t="s">
        <v>1897</v>
      </c>
      <c r="I375" t="s">
        <v>55</v>
      </c>
      <c r="J375" t="s">
        <v>24</v>
      </c>
      <c r="K375" t="s">
        <v>133</v>
      </c>
      <c r="L375" t="s">
        <v>65</v>
      </c>
      <c r="M375" t="s">
        <v>74</v>
      </c>
      <c r="N375" t="s">
        <v>1898</v>
      </c>
      <c r="O375" t="s">
        <v>67</v>
      </c>
      <c r="P375" t="s">
        <v>229</v>
      </c>
      <c r="Q375" t="s">
        <v>1899</v>
      </c>
      <c r="R375">
        <v>733.23</v>
      </c>
      <c r="S375">
        <v>5</v>
      </c>
      <c r="T375">
        <v>0</v>
      </c>
      <c r="U375">
        <v>-47.14</v>
      </c>
    </row>
    <row r="376" spans="1:21" x14ac:dyDescent="0.35">
      <c r="A376" t="s">
        <v>1900</v>
      </c>
      <c r="B376" s="2">
        <v>42716</v>
      </c>
      <c r="C376" s="2" t="str">
        <f t="shared" si="10"/>
        <v>December</v>
      </c>
      <c r="D376" s="2" t="str">
        <f t="shared" si="11"/>
        <v>2016</v>
      </c>
      <c r="E376" s="2" t="s">
        <v>5921</v>
      </c>
      <c r="F376" t="s">
        <v>62</v>
      </c>
      <c r="G376" t="s">
        <v>1901</v>
      </c>
      <c r="H376" t="s">
        <v>1259</v>
      </c>
      <c r="I376" t="s">
        <v>23</v>
      </c>
      <c r="J376" t="s">
        <v>24</v>
      </c>
      <c r="K376" t="s">
        <v>36</v>
      </c>
      <c r="L376" t="s">
        <v>56</v>
      </c>
      <c r="M376" t="s">
        <v>83</v>
      </c>
      <c r="N376" t="s">
        <v>1902</v>
      </c>
      <c r="O376" t="s">
        <v>29</v>
      </c>
      <c r="P376" t="s">
        <v>110</v>
      </c>
      <c r="Q376" t="s">
        <v>1903</v>
      </c>
      <c r="R376">
        <v>264.23</v>
      </c>
      <c r="S376">
        <v>8</v>
      </c>
      <c r="T376">
        <v>0</v>
      </c>
      <c r="U376">
        <v>-62.3</v>
      </c>
    </row>
    <row r="377" spans="1:21" x14ac:dyDescent="0.35">
      <c r="A377" t="s">
        <v>1904</v>
      </c>
      <c r="B377" s="2">
        <v>42634</v>
      </c>
      <c r="C377" s="2" t="str">
        <f t="shared" si="10"/>
        <v>September</v>
      </c>
      <c r="D377" s="2" t="str">
        <f t="shared" si="11"/>
        <v>2016</v>
      </c>
      <c r="E377" s="2" t="s">
        <v>6278</v>
      </c>
      <c r="F377" t="s">
        <v>52</v>
      </c>
      <c r="G377" t="s">
        <v>1905</v>
      </c>
      <c r="H377" t="s">
        <v>1906</v>
      </c>
      <c r="I377" t="s">
        <v>35</v>
      </c>
      <c r="J377" t="s">
        <v>24</v>
      </c>
      <c r="K377" t="s">
        <v>97</v>
      </c>
      <c r="L377" t="s">
        <v>46</v>
      </c>
      <c r="M377" t="s">
        <v>57</v>
      </c>
      <c r="N377" t="s">
        <v>1907</v>
      </c>
      <c r="O377" t="s">
        <v>48</v>
      </c>
      <c r="P377" t="s">
        <v>59</v>
      </c>
      <c r="Q377" t="s">
        <v>1394</v>
      </c>
      <c r="R377">
        <v>938.77</v>
      </c>
      <c r="S377">
        <v>2</v>
      </c>
      <c r="T377">
        <v>0.3</v>
      </c>
      <c r="U377">
        <v>115.03</v>
      </c>
    </row>
    <row r="378" spans="1:21" x14ac:dyDescent="0.35">
      <c r="A378" t="s">
        <v>1908</v>
      </c>
      <c r="B378" s="2">
        <v>43449</v>
      </c>
      <c r="C378" s="2" t="str">
        <f t="shared" si="10"/>
        <v>December</v>
      </c>
      <c r="D378" s="2" t="str">
        <f t="shared" si="11"/>
        <v>2018</v>
      </c>
      <c r="E378" s="2" t="s">
        <v>6279</v>
      </c>
      <c r="F378" t="s">
        <v>62</v>
      </c>
      <c r="G378" t="s">
        <v>1909</v>
      </c>
      <c r="H378" t="s">
        <v>1910</v>
      </c>
      <c r="I378" t="s">
        <v>23</v>
      </c>
      <c r="J378" t="s">
        <v>24</v>
      </c>
      <c r="K378" t="s">
        <v>36</v>
      </c>
      <c r="L378" t="s">
        <v>46</v>
      </c>
      <c r="M378" t="s">
        <v>83</v>
      </c>
      <c r="N378" t="s">
        <v>1911</v>
      </c>
      <c r="O378" t="s">
        <v>48</v>
      </c>
      <c r="P378" t="s">
        <v>49</v>
      </c>
      <c r="Q378" t="s">
        <v>1912</v>
      </c>
      <c r="R378">
        <v>1035.8</v>
      </c>
      <c r="S378">
        <v>9</v>
      </c>
      <c r="T378">
        <v>0.2</v>
      </c>
      <c r="U378">
        <v>455.18</v>
      </c>
    </row>
    <row r="379" spans="1:21" x14ac:dyDescent="0.35">
      <c r="A379" t="s">
        <v>1913</v>
      </c>
      <c r="B379" s="2">
        <v>43123</v>
      </c>
      <c r="C379" s="2" t="str">
        <f t="shared" si="10"/>
        <v>January</v>
      </c>
      <c r="D379" s="2" t="str">
        <f t="shared" si="11"/>
        <v>2018</v>
      </c>
      <c r="E379" s="2" t="s">
        <v>6162</v>
      </c>
      <c r="F379" t="s">
        <v>20</v>
      </c>
      <c r="G379" t="s">
        <v>1914</v>
      </c>
      <c r="H379" t="s">
        <v>1915</v>
      </c>
      <c r="I379" t="s">
        <v>23</v>
      </c>
      <c r="J379" t="s">
        <v>24</v>
      </c>
      <c r="K379" t="s">
        <v>45</v>
      </c>
      <c r="L379" t="s">
        <v>115</v>
      </c>
      <c r="M379" t="s">
        <v>83</v>
      </c>
      <c r="N379" t="s">
        <v>1916</v>
      </c>
      <c r="O379" t="s">
        <v>48</v>
      </c>
      <c r="P379" t="s">
        <v>76</v>
      </c>
      <c r="Q379" t="s">
        <v>1917</v>
      </c>
      <c r="R379">
        <v>1208.56</v>
      </c>
      <c r="S379">
        <v>4</v>
      </c>
      <c r="T379">
        <v>0</v>
      </c>
      <c r="U379">
        <v>82.8</v>
      </c>
    </row>
    <row r="380" spans="1:21" x14ac:dyDescent="0.35">
      <c r="A380" t="s">
        <v>1918</v>
      </c>
      <c r="B380" s="2">
        <v>42605</v>
      </c>
      <c r="C380" s="2" t="str">
        <f t="shared" si="10"/>
        <v>August</v>
      </c>
      <c r="D380" s="2" t="str">
        <f t="shared" si="11"/>
        <v>2016</v>
      </c>
      <c r="E380" s="2">
        <v>42378</v>
      </c>
      <c r="F380" t="s">
        <v>42</v>
      </c>
      <c r="G380" t="s">
        <v>1919</v>
      </c>
      <c r="H380" t="s">
        <v>1920</v>
      </c>
      <c r="I380" t="s">
        <v>23</v>
      </c>
      <c r="J380" t="s">
        <v>24</v>
      </c>
      <c r="K380" t="s">
        <v>25</v>
      </c>
      <c r="L380" t="s">
        <v>36</v>
      </c>
      <c r="M380" t="s">
        <v>57</v>
      </c>
      <c r="N380" t="s">
        <v>1921</v>
      </c>
      <c r="O380" t="s">
        <v>29</v>
      </c>
      <c r="P380" t="s">
        <v>155</v>
      </c>
      <c r="Q380" t="s">
        <v>1922</v>
      </c>
      <c r="R380">
        <v>1694.12</v>
      </c>
      <c r="S380">
        <v>8</v>
      </c>
      <c r="T380">
        <v>0.3</v>
      </c>
      <c r="U380">
        <v>175.25</v>
      </c>
    </row>
    <row r="381" spans="1:21" x14ac:dyDescent="0.35">
      <c r="A381" t="s">
        <v>1923</v>
      </c>
      <c r="B381" s="2">
        <v>43310</v>
      </c>
      <c r="C381" s="2" t="str">
        <f t="shared" si="10"/>
        <v>July</v>
      </c>
      <c r="D381" s="2" t="str">
        <f t="shared" si="11"/>
        <v>2018</v>
      </c>
      <c r="E381" s="2" t="s">
        <v>6126</v>
      </c>
      <c r="F381" t="s">
        <v>52</v>
      </c>
      <c r="G381" t="s">
        <v>1924</v>
      </c>
      <c r="H381" t="s">
        <v>1925</v>
      </c>
      <c r="I381" t="s">
        <v>35</v>
      </c>
      <c r="J381" t="s">
        <v>24</v>
      </c>
      <c r="K381" t="s">
        <v>25</v>
      </c>
      <c r="L381" t="s">
        <v>36</v>
      </c>
      <c r="M381" t="s">
        <v>57</v>
      </c>
      <c r="N381" t="s">
        <v>1926</v>
      </c>
      <c r="O381" t="s">
        <v>67</v>
      </c>
      <c r="P381" t="s">
        <v>197</v>
      </c>
      <c r="Q381" t="s">
        <v>1927</v>
      </c>
      <c r="R381">
        <v>814.79</v>
      </c>
      <c r="S381">
        <v>4</v>
      </c>
      <c r="T381">
        <v>0.1</v>
      </c>
      <c r="U381">
        <v>50.53</v>
      </c>
    </row>
    <row r="382" spans="1:21" x14ac:dyDescent="0.35">
      <c r="A382" t="s">
        <v>1928</v>
      </c>
      <c r="B382" s="2">
        <v>42469</v>
      </c>
      <c r="C382" s="2" t="str">
        <f t="shared" si="10"/>
        <v>April</v>
      </c>
      <c r="D382" s="2" t="str">
        <f t="shared" si="11"/>
        <v>2016</v>
      </c>
      <c r="E382" s="2" t="s">
        <v>6009</v>
      </c>
      <c r="F382" t="s">
        <v>42</v>
      </c>
      <c r="G382" t="s">
        <v>1929</v>
      </c>
      <c r="H382" t="s">
        <v>1930</v>
      </c>
      <c r="I382" t="s">
        <v>35</v>
      </c>
      <c r="J382" t="s">
        <v>24</v>
      </c>
      <c r="K382" t="s">
        <v>81</v>
      </c>
      <c r="L382" t="s">
        <v>37</v>
      </c>
      <c r="M382" t="s">
        <v>83</v>
      </c>
      <c r="N382" t="s">
        <v>1931</v>
      </c>
      <c r="O382" t="s">
        <v>67</v>
      </c>
      <c r="P382" t="s">
        <v>68</v>
      </c>
      <c r="Q382" t="s">
        <v>1932</v>
      </c>
      <c r="R382">
        <v>390.8</v>
      </c>
      <c r="S382">
        <v>5</v>
      </c>
      <c r="T382">
        <v>0.3</v>
      </c>
      <c r="U382">
        <v>172.61</v>
      </c>
    </row>
    <row r="383" spans="1:21" x14ac:dyDescent="0.35">
      <c r="A383" t="s">
        <v>1933</v>
      </c>
      <c r="B383" s="2">
        <v>43076</v>
      </c>
      <c r="C383" s="2" t="str">
        <f t="shared" si="10"/>
        <v>December</v>
      </c>
      <c r="D383" s="2" t="str">
        <f t="shared" si="11"/>
        <v>2017</v>
      </c>
      <c r="E383" s="2">
        <v>42959</v>
      </c>
      <c r="F383" t="s">
        <v>52</v>
      </c>
      <c r="G383" t="s">
        <v>1934</v>
      </c>
      <c r="H383" t="s">
        <v>1935</v>
      </c>
      <c r="I383" t="s">
        <v>23</v>
      </c>
      <c r="J383" t="s">
        <v>24</v>
      </c>
      <c r="K383" t="s">
        <v>36</v>
      </c>
      <c r="L383" t="s">
        <v>65</v>
      </c>
      <c r="M383" t="s">
        <v>57</v>
      </c>
      <c r="N383" t="s">
        <v>1936</v>
      </c>
      <c r="O383" t="s">
        <v>67</v>
      </c>
      <c r="P383" t="s">
        <v>117</v>
      </c>
      <c r="Q383" t="s">
        <v>1937</v>
      </c>
      <c r="R383">
        <v>454.41</v>
      </c>
      <c r="S383">
        <v>10</v>
      </c>
      <c r="T383">
        <v>0.4</v>
      </c>
      <c r="U383">
        <v>-79.760000000000005</v>
      </c>
    </row>
    <row r="384" spans="1:21" x14ac:dyDescent="0.35">
      <c r="A384" t="s">
        <v>1938</v>
      </c>
      <c r="B384" s="2">
        <v>42803</v>
      </c>
      <c r="C384" s="2" t="str">
        <f t="shared" si="10"/>
        <v>March</v>
      </c>
      <c r="D384" s="2" t="str">
        <f t="shared" si="11"/>
        <v>2017</v>
      </c>
      <c r="E384" s="2">
        <v>43042</v>
      </c>
      <c r="F384" t="s">
        <v>20</v>
      </c>
      <c r="G384" t="s">
        <v>1939</v>
      </c>
      <c r="H384" t="s">
        <v>1940</v>
      </c>
      <c r="I384" t="s">
        <v>23</v>
      </c>
      <c r="J384" t="s">
        <v>24</v>
      </c>
      <c r="K384" t="s">
        <v>212</v>
      </c>
      <c r="L384" t="s">
        <v>56</v>
      </c>
      <c r="M384" t="s">
        <v>83</v>
      </c>
      <c r="N384" t="s">
        <v>1941</v>
      </c>
      <c r="O384" t="s">
        <v>48</v>
      </c>
      <c r="P384" t="s">
        <v>59</v>
      </c>
      <c r="Q384" t="s">
        <v>1942</v>
      </c>
      <c r="R384">
        <v>1745.64</v>
      </c>
      <c r="S384">
        <v>6</v>
      </c>
      <c r="T384">
        <v>0</v>
      </c>
      <c r="U384">
        <v>-341.85</v>
      </c>
    </row>
    <row r="385" spans="1:21" x14ac:dyDescent="0.35">
      <c r="A385" t="s">
        <v>1943</v>
      </c>
      <c r="B385" s="2">
        <v>43667</v>
      </c>
      <c r="C385" s="2" t="str">
        <f t="shared" si="10"/>
        <v>July</v>
      </c>
      <c r="D385" s="2" t="str">
        <f t="shared" si="11"/>
        <v>2019</v>
      </c>
      <c r="E385" s="2" t="s">
        <v>6280</v>
      </c>
      <c r="F385" t="s">
        <v>52</v>
      </c>
      <c r="G385" t="s">
        <v>1944</v>
      </c>
      <c r="H385" t="s">
        <v>1945</v>
      </c>
      <c r="I385" t="s">
        <v>55</v>
      </c>
      <c r="J385" t="s">
        <v>24</v>
      </c>
      <c r="K385" t="s">
        <v>36</v>
      </c>
      <c r="L385" t="s">
        <v>56</v>
      </c>
      <c r="M385" t="s">
        <v>74</v>
      </c>
      <c r="N385" t="s">
        <v>1946</v>
      </c>
      <c r="O385" t="s">
        <v>67</v>
      </c>
      <c r="P385" t="s">
        <v>229</v>
      </c>
      <c r="Q385" t="s">
        <v>1947</v>
      </c>
      <c r="R385">
        <v>1396.86</v>
      </c>
      <c r="S385">
        <v>8</v>
      </c>
      <c r="T385">
        <v>0.2</v>
      </c>
      <c r="U385">
        <v>-360.96</v>
      </c>
    </row>
    <row r="386" spans="1:21" x14ac:dyDescent="0.35">
      <c r="A386" t="s">
        <v>1948</v>
      </c>
      <c r="B386" s="2">
        <v>43086</v>
      </c>
      <c r="C386" s="2" t="str">
        <f t="shared" si="10"/>
        <v>December</v>
      </c>
      <c r="D386" s="2" t="str">
        <f t="shared" si="11"/>
        <v>2017</v>
      </c>
      <c r="E386" s="2" t="s">
        <v>6281</v>
      </c>
      <c r="F386" t="s">
        <v>52</v>
      </c>
      <c r="G386" t="s">
        <v>1949</v>
      </c>
      <c r="H386" t="s">
        <v>1950</v>
      </c>
      <c r="I386" t="s">
        <v>35</v>
      </c>
      <c r="J386" t="s">
        <v>24</v>
      </c>
      <c r="K386" t="s">
        <v>81</v>
      </c>
      <c r="L386" t="s">
        <v>115</v>
      </c>
      <c r="M386" t="s">
        <v>27</v>
      </c>
      <c r="N386" t="s">
        <v>1951</v>
      </c>
      <c r="O386" t="s">
        <v>67</v>
      </c>
      <c r="P386" t="s">
        <v>229</v>
      </c>
      <c r="Q386" t="s">
        <v>1952</v>
      </c>
      <c r="R386">
        <v>622.79999999999995</v>
      </c>
      <c r="S386">
        <v>1</v>
      </c>
      <c r="T386">
        <v>0.4</v>
      </c>
      <c r="U386">
        <v>95.78</v>
      </c>
    </row>
    <row r="387" spans="1:21" x14ac:dyDescent="0.35">
      <c r="A387" t="s">
        <v>1953</v>
      </c>
      <c r="B387" s="2">
        <v>42617</v>
      </c>
      <c r="C387" s="2" t="str">
        <f t="shared" ref="C387:C450" si="12">TEXT(B387,"mmmm")</f>
        <v>September</v>
      </c>
      <c r="D387" s="2" t="str">
        <f t="shared" ref="D387:D450" si="13">TEXT(B387,"yyyy")</f>
        <v>2016</v>
      </c>
      <c r="E387" s="2">
        <v>42560</v>
      </c>
      <c r="F387" t="s">
        <v>42</v>
      </c>
      <c r="G387" t="s">
        <v>1954</v>
      </c>
      <c r="H387" t="s">
        <v>1955</v>
      </c>
      <c r="I387" t="s">
        <v>35</v>
      </c>
      <c r="J387" t="s">
        <v>24</v>
      </c>
      <c r="K387" t="s">
        <v>97</v>
      </c>
      <c r="L387" t="s">
        <v>115</v>
      </c>
      <c r="M387" t="s">
        <v>83</v>
      </c>
      <c r="N387" t="s">
        <v>1956</v>
      </c>
      <c r="O387" t="s">
        <v>29</v>
      </c>
      <c r="P387" t="s">
        <v>30</v>
      </c>
      <c r="Q387" t="s">
        <v>1957</v>
      </c>
      <c r="R387">
        <v>312.23</v>
      </c>
      <c r="S387">
        <v>5</v>
      </c>
      <c r="T387">
        <v>0</v>
      </c>
      <c r="U387">
        <v>119.56</v>
      </c>
    </row>
    <row r="388" spans="1:21" x14ac:dyDescent="0.35">
      <c r="A388" t="s">
        <v>1958</v>
      </c>
      <c r="B388" s="2">
        <v>43257</v>
      </c>
      <c r="C388" s="2" t="str">
        <f t="shared" si="12"/>
        <v>June</v>
      </c>
      <c r="D388" s="2" t="str">
        <f t="shared" si="13"/>
        <v>2018</v>
      </c>
      <c r="E388" s="2" t="s">
        <v>6105</v>
      </c>
      <c r="F388" t="s">
        <v>52</v>
      </c>
      <c r="G388" t="s">
        <v>1959</v>
      </c>
      <c r="H388" t="s">
        <v>1960</v>
      </c>
      <c r="I388" t="s">
        <v>23</v>
      </c>
      <c r="J388" t="s">
        <v>24</v>
      </c>
      <c r="K388" t="s">
        <v>45</v>
      </c>
      <c r="L388" t="s">
        <v>115</v>
      </c>
      <c r="M388" t="s">
        <v>74</v>
      </c>
      <c r="N388" t="s">
        <v>1961</v>
      </c>
      <c r="O388" t="s">
        <v>67</v>
      </c>
      <c r="P388" t="s">
        <v>350</v>
      </c>
      <c r="Q388" t="s">
        <v>1045</v>
      </c>
      <c r="R388">
        <v>265.85000000000002</v>
      </c>
      <c r="S388">
        <v>9</v>
      </c>
      <c r="T388">
        <v>0</v>
      </c>
      <c r="U388">
        <v>60.76</v>
      </c>
    </row>
    <row r="389" spans="1:21" x14ac:dyDescent="0.35">
      <c r="A389" t="s">
        <v>1962</v>
      </c>
      <c r="B389" s="2">
        <v>42734</v>
      </c>
      <c r="C389" s="2" t="str">
        <f t="shared" si="12"/>
        <v>December</v>
      </c>
      <c r="D389" s="2" t="str">
        <f t="shared" si="13"/>
        <v>2016</v>
      </c>
      <c r="E389" s="2">
        <v>42795</v>
      </c>
      <c r="F389" t="s">
        <v>52</v>
      </c>
      <c r="G389" t="s">
        <v>1963</v>
      </c>
      <c r="H389" t="s">
        <v>1964</v>
      </c>
      <c r="I389" t="s">
        <v>23</v>
      </c>
      <c r="J389" t="s">
        <v>24</v>
      </c>
      <c r="K389" t="s">
        <v>45</v>
      </c>
      <c r="L389" t="s">
        <v>26</v>
      </c>
      <c r="M389" t="s">
        <v>74</v>
      </c>
      <c r="N389" t="s">
        <v>1965</v>
      </c>
      <c r="O389" t="s">
        <v>67</v>
      </c>
      <c r="P389" t="s">
        <v>68</v>
      </c>
      <c r="Q389" t="s">
        <v>1966</v>
      </c>
      <c r="R389">
        <v>1624.84</v>
      </c>
      <c r="S389">
        <v>10</v>
      </c>
      <c r="T389">
        <v>0.2</v>
      </c>
      <c r="U389">
        <v>505.9</v>
      </c>
    </row>
    <row r="390" spans="1:21" x14ac:dyDescent="0.35">
      <c r="A390" t="s">
        <v>1967</v>
      </c>
      <c r="B390" s="2">
        <v>42446</v>
      </c>
      <c r="C390" s="2" t="str">
        <f t="shared" si="12"/>
        <v>March</v>
      </c>
      <c r="D390" s="2" t="str">
        <f t="shared" si="13"/>
        <v>2016</v>
      </c>
      <c r="E390" s="2" t="s">
        <v>6097</v>
      </c>
      <c r="F390" t="s">
        <v>42</v>
      </c>
      <c r="G390" t="s">
        <v>1968</v>
      </c>
      <c r="H390" t="s">
        <v>1969</v>
      </c>
      <c r="I390" t="s">
        <v>55</v>
      </c>
      <c r="J390" t="s">
        <v>24</v>
      </c>
      <c r="K390" t="s">
        <v>81</v>
      </c>
      <c r="L390" t="s">
        <v>65</v>
      </c>
      <c r="M390" t="s">
        <v>27</v>
      </c>
      <c r="N390" t="s">
        <v>1970</v>
      </c>
      <c r="O390" t="s">
        <v>67</v>
      </c>
      <c r="P390" t="s">
        <v>229</v>
      </c>
      <c r="Q390" t="s">
        <v>1971</v>
      </c>
      <c r="R390">
        <v>1337.14</v>
      </c>
      <c r="S390">
        <v>7</v>
      </c>
      <c r="T390">
        <v>0.3</v>
      </c>
      <c r="U390">
        <v>-383.15</v>
      </c>
    </row>
    <row r="391" spans="1:21" x14ac:dyDescent="0.35">
      <c r="A391" t="s">
        <v>1972</v>
      </c>
      <c r="B391" s="2">
        <v>42818</v>
      </c>
      <c r="C391" s="2" t="str">
        <f t="shared" si="12"/>
        <v>March</v>
      </c>
      <c r="D391" s="2" t="str">
        <f t="shared" si="13"/>
        <v>2017</v>
      </c>
      <c r="E391" s="2" t="s">
        <v>6185</v>
      </c>
      <c r="F391" t="s">
        <v>20</v>
      </c>
      <c r="G391" t="s">
        <v>1973</v>
      </c>
      <c r="H391" t="s">
        <v>1974</v>
      </c>
      <c r="I391" t="s">
        <v>35</v>
      </c>
      <c r="J391" t="s">
        <v>24</v>
      </c>
      <c r="K391" t="s">
        <v>36</v>
      </c>
      <c r="L391" t="s">
        <v>170</v>
      </c>
      <c r="M391" t="s">
        <v>27</v>
      </c>
      <c r="N391" t="s">
        <v>1975</v>
      </c>
      <c r="O391" t="s">
        <v>67</v>
      </c>
      <c r="P391" t="s">
        <v>92</v>
      </c>
      <c r="Q391" t="s">
        <v>1976</v>
      </c>
      <c r="R391">
        <v>984.18</v>
      </c>
      <c r="S391">
        <v>1</v>
      </c>
      <c r="T391">
        <v>0</v>
      </c>
      <c r="U391">
        <v>-27.02</v>
      </c>
    </row>
    <row r="392" spans="1:21" x14ac:dyDescent="0.35">
      <c r="A392" t="s">
        <v>1977</v>
      </c>
      <c r="B392" s="2">
        <v>43046</v>
      </c>
      <c r="C392" s="2" t="str">
        <f t="shared" si="12"/>
        <v>November</v>
      </c>
      <c r="D392" s="2" t="str">
        <f t="shared" si="13"/>
        <v>2017</v>
      </c>
      <c r="E392" s="2" t="s">
        <v>6184</v>
      </c>
      <c r="F392" t="s">
        <v>42</v>
      </c>
      <c r="G392" t="s">
        <v>1978</v>
      </c>
      <c r="H392" t="s">
        <v>1979</v>
      </c>
      <c r="I392" t="s">
        <v>23</v>
      </c>
      <c r="J392" t="s">
        <v>24</v>
      </c>
      <c r="K392" t="s">
        <v>73</v>
      </c>
      <c r="L392" t="s">
        <v>56</v>
      </c>
      <c r="M392" t="s">
        <v>27</v>
      </c>
      <c r="N392" t="s">
        <v>1980</v>
      </c>
      <c r="O392" t="s">
        <v>29</v>
      </c>
      <c r="P392" t="s">
        <v>155</v>
      </c>
      <c r="Q392" t="s">
        <v>1981</v>
      </c>
      <c r="R392">
        <v>1469.86</v>
      </c>
      <c r="S392">
        <v>10</v>
      </c>
      <c r="T392">
        <v>0</v>
      </c>
      <c r="U392">
        <v>719.68</v>
      </c>
    </row>
    <row r="393" spans="1:21" x14ac:dyDescent="0.35">
      <c r="A393" t="s">
        <v>1982</v>
      </c>
      <c r="B393" s="2">
        <v>43758</v>
      </c>
      <c r="C393" s="2" t="str">
        <f t="shared" si="12"/>
        <v>October</v>
      </c>
      <c r="D393" s="2" t="str">
        <f t="shared" si="13"/>
        <v>2019</v>
      </c>
      <c r="E393" s="2" t="s">
        <v>5960</v>
      </c>
      <c r="F393" t="s">
        <v>52</v>
      </c>
      <c r="G393" t="s">
        <v>1983</v>
      </c>
      <c r="H393" t="s">
        <v>1984</v>
      </c>
      <c r="I393" t="s">
        <v>35</v>
      </c>
      <c r="J393" t="s">
        <v>24</v>
      </c>
      <c r="K393" t="s">
        <v>81</v>
      </c>
      <c r="L393" t="s">
        <v>56</v>
      </c>
      <c r="M393" t="s">
        <v>57</v>
      </c>
      <c r="N393" t="s">
        <v>1985</v>
      </c>
      <c r="O393" t="s">
        <v>48</v>
      </c>
      <c r="P393" t="s">
        <v>49</v>
      </c>
      <c r="Q393" t="s">
        <v>1986</v>
      </c>
      <c r="R393">
        <v>1252.27</v>
      </c>
      <c r="S393">
        <v>6</v>
      </c>
      <c r="T393">
        <v>0.1</v>
      </c>
      <c r="U393">
        <v>122.84</v>
      </c>
    </row>
    <row r="394" spans="1:21" x14ac:dyDescent="0.35">
      <c r="A394" t="s">
        <v>1987</v>
      </c>
      <c r="B394" s="2">
        <v>42600</v>
      </c>
      <c r="C394" s="2" t="str">
        <f t="shared" si="12"/>
        <v>August</v>
      </c>
      <c r="D394" s="2" t="str">
        <f t="shared" si="13"/>
        <v>2016</v>
      </c>
      <c r="E394" s="2" t="s">
        <v>6170</v>
      </c>
      <c r="F394" t="s">
        <v>52</v>
      </c>
      <c r="G394" t="s">
        <v>1988</v>
      </c>
      <c r="H394" t="s">
        <v>1989</v>
      </c>
      <c r="I394" t="s">
        <v>55</v>
      </c>
      <c r="J394" t="s">
        <v>24</v>
      </c>
      <c r="K394" t="s">
        <v>133</v>
      </c>
      <c r="L394" t="s">
        <v>65</v>
      </c>
      <c r="M394" t="s">
        <v>74</v>
      </c>
      <c r="N394" t="s">
        <v>1990</v>
      </c>
      <c r="O394" t="s">
        <v>48</v>
      </c>
      <c r="P394" t="s">
        <v>128</v>
      </c>
      <c r="Q394" t="s">
        <v>1991</v>
      </c>
      <c r="R394">
        <v>766.88</v>
      </c>
      <c r="S394">
        <v>9</v>
      </c>
      <c r="T394">
        <v>0.4</v>
      </c>
      <c r="U394">
        <v>47.36</v>
      </c>
    </row>
    <row r="395" spans="1:21" x14ac:dyDescent="0.35">
      <c r="A395" t="s">
        <v>1992</v>
      </c>
      <c r="B395" s="2">
        <v>43211</v>
      </c>
      <c r="C395" s="2" t="str">
        <f t="shared" si="12"/>
        <v>April</v>
      </c>
      <c r="D395" s="2" t="str">
        <f t="shared" si="13"/>
        <v>2018</v>
      </c>
      <c r="E395" s="2" t="s">
        <v>6282</v>
      </c>
      <c r="F395" t="s">
        <v>62</v>
      </c>
      <c r="G395" t="s">
        <v>1993</v>
      </c>
      <c r="H395" t="s">
        <v>1994</v>
      </c>
      <c r="I395" t="s">
        <v>23</v>
      </c>
      <c r="J395" t="s">
        <v>24</v>
      </c>
      <c r="K395" t="s">
        <v>25</v>
      </c>
      <c r="L395" t="s">
        <v>36</v>
      </c>
      <c r="M395" t="s">
        <v>57</v>
      </c>
      <c r="N395" t="s">
        <v>1995</v>
      </c>
      <c r="O395" t="s">
        <v>29</v>
      </c>
      <c r="P395" t="s">
        <v>39</v>
      </c>
      <c r="Q395" t="s">
        <v>1996</v>
      </c>
      <c r="R395">
        <v>880.62</v>
      </c>
      <c r="S395">
        <v>6</v>
      </c>
      <c r="T395">
        <v>0</v>
      </c>
      <c r="U395">
        <v>117.75</v>
      </c>
    </row>
    <row r="396" spans="1:21" x14ac:dyDescent="0.35">
      <c r="A396" t="s">
        <v>1997</v>
      </c>
      <c r="B396" s="2">
        <v>42875</v>
      </c>
      <c r="C396" s="2" t="str">
        <f t="shared" si="12"/>
        <v>May</v>
      </c>
      <c r="D396" s="2" t="str">
        <f t="shared" si="13"/>
        <v>2017</v>
      </c>
      <c r="E396" s="2" t="s">
        <v>6283</v>
      </c>
      <c r="F396" t="s">
        <v>20</v>
      </c>
      <c r="G396" t="s">
        <v>1998</v>
      </c>
      <c r="H396" t="s">
        <v>905</v>
      </c>
      <c r="I396" t="s">
        <v>55</v>
      </c>
      <c r="J396" t="s">
        <v>24</v>
      </c>
      <c r="K396" t="s">
        <v>103</v>
      </c>
      <c r="L396" t="s">
        <v>82</v>
      </c>
      <c r="M396" t="s">
        <v>57</v>
      </c>
      <c r="N396" t="s">
        <v>1999</v>
      </c>
      <c r="O396" t="s">
        <v>67</v>
      </c>
      <c r="P396" t="s">
        <v>117</v>
      </c>
      <c r="Q396" t="s">
        <v>2000</v>
      </c>
      <c r="R396">
        <v>35.159999999999997</v>
      </c>
      <c r="S396">
        <v>7</v>
      </c>
      <c r="T396">
        <v>0.4</v>
      </c>
      <c r="U396">
        <v>16.190000000000001</v>
      </c>
    </row>
    <row r="397" spans="1:21" x14ac:dyDescent="0.35">
      <c r="A397" t="s">
        <v>2001</v>
      </c>
      <c r="B397" s="2">
        <v>42392</v>
      </c>
      <c r="C397" s="2" t="str">
        <f t="shared" si="12"/>
        <v>January</v>
      </c>
      <c r="D397" s="2" t="str">
        <f t="shared" si="13"/>
        <v>2016</v>
      </c>
      <c r="E397" s="2" t="s">
        <v>6284</v>
      </c>
      <c r="F397" t="s">
        <v>20</v>
      </c>
      <c r="G397" t="s">
        <v>2002</v>
      </c>
      <c r="H397" t="s">
        <v>2003</v>
      </c>
      <c r="I397" t="s">
        <v>35</v>
      </c>
      <c r="J397" t="s">
        <v>24</v>
      </c>
      <c r="K397" t="s">
        <v>103</v>
      </c>
      <c r="L397" t="s">
        <v>170</v>
      </c>
      <c r="M397" t="s">
        <v>74</v>
      </c>
      <c r="N397" t="s">
        <v>2004</v>
      </c>
      <c r="O397" t="s">
        <v>67</v>
      </c>
      <c r="P397" t="s">
        <v>92</v>
      </c>
      <c r="Q397" t="s">
        <v>270</v>
      </c>
      <c r="R397">
        <v>1935.88</v>
      </c>
      <c r="S397">
        <v>6</v>
      </c>
      <c r="T397">
        <v>0.3</v>
      </c>
      <c r="U397">
        <v>423.77</v>
      </c>
    </row>
    <row r="398" spans="1:21" x14ac:dyDescent="0.35">
      <c r="A398" t="s">
        <v>2005</v>
      </c>
      <c r="B398" s="2">
        <v>42889</v>
      </c>
      <c r="C398" s="2" t="str">
        <f t="shared" si="12"/>
        <v>June</v>
      </c>
      <c r="D398" s="2" t="str">
        <f t="shared" si="13"/>
        <v>2017</v>
      </c>
      <c r="E398" s="2">
        <v>42861</v>
      </c>
      <c r="F398" t="s">
        <v>20</v>
      </c>
      <c r="G398" t="s">
        <v>2006</v>
      </c>
      <c r="H398" t="s">
        <v>2007</v>
      </c>
      <c r="I398" t="s">
        <v>35</v>
      </c>
      <c r="J398" t="s">
        <v>24</v>
      </c>
      <c r="K398" t="s">
        <v>45</v>
      </c>
      <c r="L398" t="s">
        <v>65</v>
      </c>
      <c r="M398" t="s">
        <v>57</v>
      </c>
      <c r="N398" t="s">
        <v>2008</v>
      </c>
      <c r="O398" t="s">
        <v>29</v>
      </c>
      <c r="P398" t="s">
        <v>39</v>
      </c>
      <c r="Q398" t="s">
        <v>2009</v>
      </c>
      <c r="R398">
        <v>329.67</v>
      </c>
      <c r="S398">
        <v>2</v>
      </c>
      <c r="T398">
        <v>0</v>
      </c>
      <c r="U398">
        <v>-26.16</v>
      </c>
    </row>
    <row r="399" spans="1:21" x14ac:dyDescent="0.35">
      <c r="A399" t="s">
        <v>2010</v>
      </c>
      <c r="B399" s="2">
        <v>42588</v>
      </c>
      <c r="C399" s="2" t="str">
        <f t="shared" si="12"/>
        <v>August</v>
      </c>
      <c r="D399" s="2" t="str">
        <f t="shared" si="13"/>
        <v>2016</v>
      </c>
      <c r="E399" s="2">
        <v>42621</v>
      </c>
      <c r="F399" t="s">
        <v>20</v>
      </c>
      <c r="G399" t="s">
        <v>2011</v>
      </c>
      <c r="H399" t="s">
        <v>2012</v>
      </c>
      <c r="I399" t="s">
        <v>35</v>
      </c>
      <c r="J399" t="s">
        <v>24</v>
      </c>
      <c r="K399" t="s">
        <v>212</v>
      </c>
      <c r="L399" t="s">
        <v>82</v>
      </c>
      <c r="M399" t="s">
        <v>27</v>
      </c>
      <c r="N399" t="s">
        <v>2013</v>
      </c>
      <c r="O399" t="s">
        <v>48</v>
      </c>
      <c r="P399" t="s">
        <v>59</v>
      </c>
      <c r="Q399" t="s">
        <v>2014</v>
      </c>
      <c r="R399">
        <v>910.54</v>
      </c>
      <c r="S399">
        <v>2</v>
      </c>
      <c r="T399">
        <v>0</v>
      </c>
      <c r="U399">
        <v>-43.48</v>
      </c>
    </row>
    <row r="400" spans="1:21" x14ac:dyDescent="0.35">
      <c r="A400" t="s">
        <v>2015</v>
      </c>
      <c r="B400" s="2">
        <v>43600</v>
      </c>
      <c r="C400" s="2" t="str">
        <f t="shared" si="12"/>
        <v>May</v>
      </c>
      <c r="D400" s="2" t="str">
        <f t="shared" si="13"/>
        <v>2019</v>
      </c>
      <c r="E400" s="2" t="s">
        <v>6030</v>
      </c>
      <c r="F400" t="s">
        <v>42</v>
      </c>
      <c r="G400" t="s">
        <v>2016</v>
      </c>
      <c r="H400" t="s">
        <v>2017</v>
      </c>
      <c r="I400" t="s">
        <v>35</v>
      </c>
      <c r="J400" t="s">
        <v>24</v>
      </c>
      <c r="K400" t="s">
        <v>81</v>
      </c>
      <c r="L400" t="s">
        <v>46</v>
      </c>
      <c r="M400" t="s">
        <v>57</v>
      </c>
      <c r="N400" t="s">
        <v>2018</v>
      </c>
      <c r="O400" t="s">
        <v>67</v>
      </c>
      <c r="P400" t="s">
        <v>229</v>
      </c>
      <c r="Q400" t="s">
        <v>2019</v>
      </c>
      <c r="R400">
        <v>743.09</v>
      </c>
      <c r="S400">
        <v>5</v>
      </c>
      <c r="T400">
        <v>0</v>
      </c>
      <c r="U400">
        <v>304.38</v>
      </c>
    </row>
    <row r="401" spans="1:21" x14ac:dyDescent="0.35">
      <c r="A401" t="s">
        <v>2020</v>
      </c>
      <c r="B401" s="2">
        <v>42659</v>
      </c>
      <c r="C401" s="2" t="str">
        <f t="shared" si="12"/>
        <v>October</v>
      </c>
      <c r="D401" s="2" t="str">
        <f t="shared" si="13"/>
        <v>2016</v>
      </c>
      <c r="E401" s="2" t="s">
        <v>6181</v>
      </c>
      <c r="F401" t="s">
        <v>42</v>
      </c>
      <c r="G401" t="s">
        <v>2021</v>
      </c>
      <c r="H401" t="s">
        <v>2022</v>
      </c>
      <c r="I401" t="s">
        <v>35</v>
      </c>
      <c r="J401" t="s">
        <v>24</v>
      </c>
      <c r="K401" t="s">
        <v>36</v>
      </c>
      <c r="L401" t="s">
        <v>115</v>
      </c>
      <c r="M401" t="s">
        <v>74</v>
      </c>
      <c r="N401" t="s">
        <v>2023</v>
      </c>
      <c r="O401" t="s">
        <v>29</v>
      </c>
      <c r="P401" t="s">
        <v>110</v>
      </c>
      <c r="Q401" t="s">
        <v>2024</v>
      </c>
      <c r="R401">
        <v>1793.49</v>
      </c>
      <c r="S401">
        <v>5</v>
      </c>
      <c r="T401">
        <v>0</v>
      </c>
      <c r="U401">
        <v>-511.67</v>
      </c>
    </row>
    <row r="402" spans="1:21" x14ac:dyDescent="0.35">
      <c r="A402" t="s">
        <v>2025</v>
      </c>
      <c r="B402" s="2">
        <v>42770</v>
      </c>
      <c r="C402" s="2" t="str">
        <f t="shared" si="12"/>
        <v>February</v>
      </c>
      <c r="D402" s="2" t="str">
        <f t="shared" si="13"/>
        <v>2017</v>
      </c>
      <c r="E402" s="2" t="s">
        <v>6093</v>
      </c>
      <c r="F402" t="s">
        <v>20</v>
      </c>
      <c r="G402" t="s">
        <v>2026</v>
      </c>
      <c r="H402" t="s">
        <v>2027</v>
      </c>
      <c r="I402" t="s">
        <v>55</v>
      </c>
      <c r="J402" t="s">
        <v>24</v>
      </c>
      <c r="K402" t="s">
        <v>81</v>
      </c>
      <c r="L402" t="s">
        <v>46</v>
      </c>
      <c r="M402" t="s">
        <v>74</v>
      </c>
      <c r="N402" t="s">
        <v>2028</v>
      </c>
      <c r="O402" t="s">
        <v>48</v>
      </c>
      <c r="P402" t="s">
        <v>76</v>
      </c>
      <c r="Q402" t="s">
        <v>2029</v>
      </c>
      <c r="R402">
        <v>597.1</v>
      </c>
      <c r="S402">
        <v>7</v>
      </c>
      <c r="T402">
        <v>0</v>
      </c>
      <c r="U402">
        <v>296.85000000000002</v>
      </c>
    </row>
    <row r="403" spans="1:21" x14ac:dyDescent="0.35">
      <c r="A403" t="s">
        <v>2030</v>
      </c>
      <c r="B403" s="2">
        <v>43304</v>
      </c>
      <c r="C403" s="2" t="str">
        <f t="shared" si="12"/>
        <v>July</v>
      </c>
      <c r="D403" s="2" t="str">
        <f t="shared" si="13"/>
        <v>2018</v>
      </c>
      <c r="E403" s="2" t="s">
        <v>6223</v>
      </c>
      <c r="F403" t="s">
        <v>20</v>
      </c>
      <c r="G403" t="s">
        <v>2031</v>
      </c>
      <c r="H403" t="s">
        <v>2032</v>
      </c>
      <c r="I403" t="s">
        <v>23</v>
      </c>
      <c r="J403" t="s">
        <v>24</v>
      </c>
      <c r="K403" t="s">
        <v>73</v>
      </c>
      <c r="L403" t="s">
        <v>115</v>
      </c>
      <c r="M403" t="s">
        <v>83</v>
      </c>
      <c r="N403" t="s">
        <v>2033</v>
      </c>
      <c r="O403" t="s">
        <v>67</v>
      </c>
      <c r="P403" t="s">
        <v>229</v>
      </c>
      <c r="Q403" t="s">
        <v>2034</v>
      </c>
      <c r="R403">
        <v>960.43</v>
      </c>
      <c r="S403">
        <v>2</v>
      </c>
      <c r="T403">
        <v>0</v>
      </c>
      <c r="U403">
        <v>-99.94</v>
      </c>
    </row>
    <row r="404" spans="1:21" x14ac:dyDescent="0.35">
      <c r="A404" t="s">
        <v>2035</v>
      </c>
      <c r="B404" s="2">
        <v>43810</v>
      </c>
      <c r="C404" s="2" t="str">
        <f t="shared" si="12"/>
        <v>December</v>
      </c>
      <c r="D404" s="2" t="str">
        <f t="shared" si="13"/>
        <v>2019</v>
      </c>
      <c r="E404" s="2" t="s">
        <v>6230</v>
      </c>
      <c r="F404" t="s">
        <v>20</v>
      </c>
      <c r="G404" t="s">
        <v>2036</v>
      </c>
      <c r="H404" t="s">
        <v>2037</v>
      </c>
      <c r="I404" t="s">
        <v>35</v>
      </c>
      <c r="J404" t="s">
        <v>24</v>
      </c>
      <c r="K404" t="s">
        <v>103</v>
      </c>
      <c r="L404" t="s">
        <v>65</v>
      </c>
      <c r="M404" t="s">
        <v>27</v>
      </c>
      <c r="N404" t="s">
        <v>2038</v>
      </c>
      <c r="O404" t="s">
        <v>67</v>
      </c>
      <c r="P404" t="s">
        <v>350</v>
      </c>
      <c r="Q404" t="s">
        <v>2039</v>
      </c>
      <c r="R404">
        <v>1575.4</v>
      </c>
      <c r="S404">
        <v>5</v>
      </c>
      <c r="T404">
        <v>0.1</v>
      </c>
      <c r="U404">
        <v>165.13</v>
      </c>
    </row>
    <row r="405" spans="1:21" x14ac:dyDescent="0.35">
      <c r="A405" t="s">
        <v>2040</v>
      </c>
      <c r="B405" s="2">
        <v>43427</v>
      </c>
      <c r="C405" s="2" t="str">
        <f t="shared" si="12"/>
        <v>November</v>
      </c>
      <c r="D405" s="2" t="str">
        <f t="shared" si="13"/>
        <v>2018</v>
      </c>
      <c r="E405" s="2" t="s">
        <v>6285</v>
      </c>
      <c r="F405" t="s">
        <v>52</v>
      </c>
      <c r="G405" t="s">
        <v>2041</v>
      </c>
      <c r="H405" t="s">
        <v>2042</v>
      </c>
      <c r="I405" t="s">
        <v>35</v>
      </c>
      <c r="J405" t="s">
        <v>24</v>
      </c>
      <c r="K405" t="s">
        <v>81</v>
      </c>
      <c r="L405" t="s">
        <v>37</v>
      </c>
      <c r="M405" t="s">
        <v>57</v>
      </c>
      <c r="N405" t="s">
        <v>2043</v>
      </c>
      <c r="O405" t="s">
        <v>48</v>
      </c>
      <c r="P405" t="s">
        <v>76</v>
      </c>
      <c r="Q405" t="s">
        <v>2044</v>
      </c>
      <c r="R405">
        <v>1748.69</v>
      </c>
      <c r="S405">
        <v>3</v>
      </c>
      <c r="T405">
        <v>0</v>
      </c>
      <c r="U405">
        <v>-156.41</v>
      </c>
    </row>
    <row r="406" spans="1:21" x14ac:dyDescent="0.35">
      <c r="A406" t="s">
        <v>2045</v>
      </c>
      <c r="B406" s="2">
        <v>42387</v>
      </c>
      <c r="C406" s="2" t="str">
        <f t="shared" si="12"/>
        <v>January</v>
      </c>
      <c r="D406" s="2" t="str">
        <f t="shared" si="13"/>
        <v>2016</v>
      </c>
      <c r="E406" s="2" t="s">
        <v>6016</v>
      </c>
      <c r="F406" t="s">
        <v>20</v>
      </c>
      <c r="G406" t="s">
        <v>2046</v>
      </c>
      <c r="H406" t="s">
        <v>2047</v>
      </c>
      <c r="I406" t="s">
        <v>55</v>
      </c>
      <c r="J406" t="s">
        <v>24</v>
      </c>
      <c r="K406" t="s">
        <v>133</v>
      </c>
      <c r="L406" t="s">
        <v>115</v>
      </c>
      <c r="M406" t="s">
        <v>83</v>
      </c>
      <c r="N406" t="s">
        <v>2048</v>
      </c>
      <c r="O406" t="s">
        <v>67</v>
      </c>
      <c r="P406" t="s">
        <v>229</v>
      </c>
      <c r="Q406" t="s">
        <v>2049</v>
      </c>
      <c r="R406">
        <v>608.41999999999996</v>
      </c>
      <c r="S406">
        <v>8</v>
      </c>
      <c r="T406">
        <v>0.4</v>
      </c>
      <c r="U406">
        <v>131.01</v>
      </c>
    </row>
    <row r="407" spans="1:21" x14ac:dyDescent="0.35">
      <c r="A407" t="s">
        <v>2050</v>
      </c>
      <c r="B407" s="2">
        <v>43620</v>
      </c>
      <c r="C407" s="2" t="str">
        <f t="shared" si="12"/>
        <v>June</v>
      </c>
      <c r="D407" s="2" t="str">
        <f t="shared" si="13"/>
        <v>2019</v>
      </c>
      <c r="E407" s="2">
        <v>43744</v>
      </c>
      <c r="F407" t="s">
        <v>42</v>
      </c>
      <c r="G407" t="s">
        <v>2051</v>
      </c>
      <c r="H407" t="s">
        <v>2052</v>
      </c>
      <c r="I407" t="s">
        <v>55</v>
      </c>
      <c r="J407" t="s">
        <v>24</v>
      </c>
      <c r="K407" t="s">
        <v>212</v>
      </c>
      <c r="L407" t="s">
        <v>36</v>
      </c>
      <c r="M407" t="s">
        <v>57</v>
      </c>
      <c r="N407" t="s">
        <v>2053</v>
      </c>
      <c r="O407" t="s">
        <v>67</v>
      </c>
      <c r="P407" t="s">
        <v>197</v>
      </c>
      <c r="Q407" t="s">
        <v>2054</v>
      </c>
      <c r="R407">
        <v>189.16</v>
      </c>
      <c r="S407">
        <v>6</v>
      </c>
      <c r="T407">
        <v>0</v>
      </c>
      <c r="U407">
        <v>34.119999999999997</v>
      </c>
    </row>
    <row r="408" spans="1:21" x14ac:dyDescent="0.35">
      <c r="A408" t="s">
        <v>2055</v>
      </c>
      <c r="B408" s="2">
        <v>43387</v>
      </c>
      <c r="C408" s="2" t="str">
        <f t="shared" si="12"/>
        <v>October</v>
      </c>
      <c r="D408" s="2" t="str">
        <f t="shared" si="13"/>
        <v>2018</v>
      </c>
      <c r="E408" s="2" t="s">
        <v>5903</v>
      </c>
      <c r="F408" t="s">
        <v>52</v>
      </c>
      <c r="G408" t="s">
        <v>2056</v>
      </c>
      <c r="H408" t="s">
        <v>2057</v>
      </c>
      <c r="I408" t="s">
        <v>55</v>
      </c>
      <c r="J408" t="s">
        <v>24</v>
      </c>
      <c r="K408" t="s">
        <v>97</v>
      </c>
      <c r="L408" t="s">
        <v>26</v>
      </c>
      <c r="M408" t="s">
        <v>27</v>
      </c>
      <c r="N408" t="s">
        <v>2058</v>
      </c>
      <c r="O408" t="s">
        <v>67</v>
      </c>
      <c r="P408" t="s">
        <v>117</v>
      </c>
      <c r="Q408" t="s">
        <v>2059</v>
      </c>
      <c r="R408">
        <v>1687.69</v>
      </c>
      <c r="S408">
        <v>8</v>
      </c>
      <c r="T408">
        <v>0</v>
      </c>
      <c r="U408">
        <v>371.68</v>
      </c>
    </row>
    <row r="409" spans="1:21" x14ac:dyDescent="0.35">
      <c r="A409" t="s">
        <v>2060</v>
      </c>
      <c r="B409" s="2">
        <v>43529</v>
      </c>
      <c r="C409" s="2" t="str">
        <f t="shared" si="12"/>
        <v>March</v>
      </c>
      <c r="D409" s="2" t="str">
        <f t="shared" si="13"/>
        <v>2019</v>
      </c>
      <c r="E409" s="2">
        <v>43772</v>
      </c>
      <c r="F409" t="s">
        <v>20</v>
      </c>
      <c r="G409" t="s">
        <v>2061</v>
      </c>
      <c r="H409" t="s">
        <v>2062</v>
      </c>
      <c r="I409" t="s">
        <v>55</v>
      </c>
      <c r="J409" t="s">
        <v>24</v>
      </c>
      <c r="K409" t="s">
        <v>25</v>
      </c>
      <c r="L409" t="s">
        <v>36</v>
      </c>
      <c r="M409" t="s">
        <v>57</v>
      </c>
      <c r="N409" t="s">
        <v>2063</v>
      </c>
      <c r="O409" t="s">
        <v>67</v>
      </c>
      <c r="P409" t="s">
        <v>229</v>
      </c>
      <c r="Q409" t="s">
        <v>2064</v>
      </c>
      <c r="R409">
        <v>196.81</v>
      </c>
      <c r="S409">
        <v>6</v>
      </c>
      <c r="T409">
        <v>0.1</v>
      </c>
      <c r="U409">
        <v>2.82</v>
      </c>
    </row>
    <row r="410" spans="1:21" x14ac:dyDescent="0.35">
      <c r="A410" t="s">
        <v>2065</v>
      </c>
      <c r="B410" s="2">
        <v>43160</v>
      </c>
      <c r="C410" s="2" t="str">
        <f t="shared" si="12"/>
        <v>March</v>
      </c>
      <c r="D410" s="2" t="str">
        <f t="shared" si="13"/>
        <v>2018</v>
      </c>
      <c r="E410" s="2">
        <v>43254</v>
      </c>
      <c r="F410" t="s">
        <v>42</v>
      </c>
      <c r="G410" t="s">
        <v>2066</v>
      </c>
      <c r="H410" t="s">
        <v>2067</v>
      </c>
      <c r="I410" t="s">
        <v>55</v>
      </c>
      <c r="J410" t="s">
        <v>24</v>
      </c>
      <c r="K410" t="s">
        <v>89</v>
      </c>
      <c r="L410" t="s">
        <v>82</v>
      </c>
      <c r="M410" t="s">
        <v>57</v>
      </c>
      <c r="N410" t="s">
        <v>2068</v>
      </c>
      <c r="O410" t="s">
        <v>67</v>
      </c>
      <c r="P410" t="s">
        <v>92</v>
      </c>
      <c r="Q410" t="s">
        <v>2069</v>
      </c>
      <c r="R410">
        <v>651.98</v>
      </c>
      <c r="S410">
        <v>1</v>
      </c>
      <c r="T410">
        <v>0.1</v>
      </c>
      <c r="U410">
        <v>257.86</v>
      </c>
    </row>
    <row r="411" spans="1:21" x14ac:dyDescent="0.35">
      <c r="A411" t="s">
        <v>2070</v>
      </c>
      <c r="B411" s="2">
        <v>42707</v>
      </c>
      <c r="C411" s="2" t="str">
        <f t="shared" si="12"/>
        <v>December</v>
      </c>
      <c r="D411" s="2" t="str">
        <f t="shared" si="13"/>
        <v>2016</v>
      </c>
      <c r="E411" s="2">
        <v>42563</v>
      </c>
      <c r="F411" t="s">
        <v>20</v>
      </c>
      <c r="G411" t="s">
        <v>2071</v>
      </c>
      <c r="H411" t="s">
        <v>2072</v>
      </c>
      <c r="I411" t="s">
        <v>35</v>
      </c>
      <c r="J411" t="s">
        <v>24</v>
      </c>
      <c r="K411" t="s">
        <v>81</v>
      </c>
      <c r="L411" t="s">
        <v>56</v>
      </c>
      <c r="M411" t="s">
        <v>83</v>
      </c>
      <c r="N411" t="s">
        <v>2073</v>
      </c>
      <c r="O411" t="s">
        <v>48</v>
      </c>
      <c r="P411" t="s">
        <v>76</v>
      </c>
      <c r="Q411" t="s">
        <v>2074</v>
      </c>
      <c r="R411">
        <v>317.24</v>
      </c>
      <c r="S411">
        <v>5</v>
      </c>
      <c r="T411">
        <v>0</v>
      </c>
      <c r="U411">
        <v>11.35</v>
      </c>
    </row>
    <row r="412" spans="1:21" x14ac:dyDescent="0.35">
      <c r="A412" t="s">
        <v>2075</v>
      </c>
      <c r="B412" s="2">
        <v>43674</v>
      </c>
      <c r="C412" s="2" t="str">
        <f t="shared" si="12"/>
        <v>July</v>
      </c>
      <c r="D412" s="2" t="str">
        <f t="shared" si="13"/>
        <v>2019</v>
      </c>
      <c r="E412" s="2" t="s">
        <v>5952</v>
      </c>
      <c r="F412" t="s">
        <v>42</v>
      </c>
      <c r="G412" t="s">
        <v>2076</v>
      </c>
      <c r="H412" t="s">
        <v>2077</v>
      </c>
      <c r="I412" t="s">
        <v>55</v>
      </c>
      <c r="J412" t="s">
        <v>24</v>
      </c>
      <c r="K412" t="s">
        <v>25</v>
      </c>
      <c r="L412" t="s">
        <v>90</v>
      </c>
      <c r="M412" t="s">
        <v>57</v>
      </c>
      <c r="N412" t="s">
        <v>2078</v>
      </c>
      <c r="O412" t="s">
        <v>48</v>
      </c>
      <c r="P412" t="s">
        <v>49</v>
      </c>
      <c r="Q412" t="s">
        <v>2079</v>
      </c>
      <c r="R412">
        <v>1681.97</v>
      </c>
      <c r="S412">
        <v>4</v>
      </c>
      <c r="T412">
        <v>0.3</v>
      </c>
      <c r="U412">
        <v>-267.8</v>
      </c>
    </row>
    <row r="413" spans="1:21" x14ac:dyDescent="0.35">
      <c r="A413" t="s">
        <v>2080</v>
      </c>
      <c r="B413" s="2">
        <v>43499</v>
      </c>
      <c r="C413" s="2" t="str">
        <f t="shared" si="12"/>
        <v>February</v>
      </c>
      <c r="D413" s="2" t="str">
        <f t="shared" si="13"/>
        <v>2019</v>
      </c>
      <c r="E413" s="2" t="s">
        <v>6085</v>
      </c>
      <c r="F413" t="s">
        <v>20</v>
      </c>
      <c r="G413" t="s">
        <v>2081</v>
      </c>
      <c r="H413" t="s">
        <v>2082</v>
      </c>
      <c r="I413" t="s">
        <v>23</v>
      </c>
      <c r="J413" t="s">
        <v>24</v>
      </c>
      <c r="K413" t="s">
        <v>212</v>
      </c>
      <c r="L413" t="s">
        <v>65</v>
      </c>
      <c r="M413" t="s">
        <v>27</v>
      </c>
      <c r="N413" t="s">
        <v>2083</v>
      </c>
      <c r="O413" t="s">
        <v>67</v>
      </c>
      <c r="P413" t="s">
        <v>92</v>
      </c>
      <c r="Q413" t="s">
        <v>480</v>
      </c>
      <c r="R413">
        <v>198.24</v>
      </c>
      <c r="S413">
        <v>2</v>
      </c>
      <c r="T413">
        <v>0</v>
      </c>
      <c r="U413">
        <v>-48</v>
      </c>
    </row>
    <row r="414" spans="1:21" x14ac:dyDescent="0.35">
      <c r="A414" t="s">
        <v>2084</v>
      </c>
      <c r="B414" s="2">
        <v>43491</v>
      </c>
      <c r="C414" s="2" t="str">
        <f t="shared" si="12"/>
        <v>January</v>
      </c>
      <c r="D414" s="2" t="str">
        <f t="shared" si="13"/>
        <v>2019</v>
      </c>
      <c r="E414" s="2">
        <v>43467</v>
      </c>
      <c r="F414" t="s">
        <v>52</v>
      </c>
      <c r="G414" t="s">
        <v>2085</v>
      </c>
      <c r="H414" t="s">
        <v>2086</v>
      </c>
      <c r="I414" t="s">
        <v>55</v>
      </c>
      <c r="J414" t="s">
        <v>24</v>
      </c>
      <c r="K414" t="s">
        <v>73</v>
      </c>
      <c r="L414" t="s">
        <v>37</v>
      </c>
      <c r="M414" t="s">
        <v>83</v>
      </c>
      <c r="N414" t="s">
        <v>2087</v>
      </c>
      <c r="O414" t="s">
        <v>67</v>
      </c>
      <c r="P414" t="s">
        <v>229</v>
      </c>
      <c r="Q414" t="s">
        <v>2088</v>
      </c>
      <c r="R414">
        <v>196.83</v>
      </c>
      <c r="S414">
        <v>7</v>
      </c>
      <c r="T414">
        <v>0</v>
      </c>
      <c r="U414">
        <v>2.63</v>
      </c>
    </row>
    <row r="415" spans="1:21" x14ac:dyDescent="0.35">
      <c r="A415" t="s">
        <v>2089</v>
      </c>
      <c r="B415" s="2">
        <v>42561</v>
      </c>
      <c r="C415" s="2" t="str">
        <f t="shared" si="12"/>
        <v>July</v>
      </c>
      <c r="D415" s="2" t="str">
        <f t="shared" si="13"/>
        <v>2016</v>
      </c>
      <c r="E415" s="2">
        <v>42711</v>
      </c>
      <c r="F415" t="s">
        <v>62</v>
      </c>
      <c r="G415" t="s">
        <v>2090</v>
      </c>
      <c r="H415" t="s">
        <v>2091</v>
      </c>
      <c r="I415" t="s">
        <v>35</v>
      </c>
      <c r="J415" t="s">
        <v>24</v>
      </c>
      <c r="K415" t="s">
        <v>133</v>
      </c>
      <c r="L415" t="s">
        <v>36</v>
      </c>
      <c r="M415" t="s">
        <v>74</v>
      </c>
      <c r="N415" t="s">
        <v>2092</v>
      </c>
      <c r="O415" t="s">
        <v>48</v>
      </c>
      <c r="P415" t="s">
        <v>49</v>
      </c>
      <c r="Q415" t="s">
        <v>2093</v>
      </c>
      <c r="R415">
        <v>784.8</v>
      </c>
      <c r="S415">
        <v>8</v>
      </c>
      <c r="T415">
        <v>0.2</v>
      </c>
      <c r="U415">
        <v>-173.66</v>
      </c>
    </row>
    <row r="416" spans="1:21" x14ac:dyDescent="0.35">
      <c r="A416" t="s">
        <v>2094</v>
      </c>
      <c r="B416" s="2">
        <v>43075</v>
      </c>
      <c r="C416" s="2" t="str">
        <f t="shared" si="12"/>
        <v>December</v>
      </c>
      <c r="D416" s="2" t="str">
        <f t="shared" si="13"/>
        <v>2017</v>
      </c>
      <c r="E416" s="2" t="s">
        <v>6112</v>
      </c>
      <c r="F416" t="s">
        <v>20</v>
      </c>
      <c r="G416" t="s">
        <v>2095</v>
      </c>
      <c r="H416" t="s">
        <v>2096</v>
      </c>
      <c r="I416" t="s">
        <v>23</v>
      </c>
      <c r="J416" t="s">
        <v>24</v>
      </c>
      <c r="K416" t="s">
        <v>36</v>
      </c>
      <c r="L416" t="s">
        <v>26</v>
      </c>
      <c r="M416" t="s">
        <v>74</v>
      </c>
      <c r="N416" t="s">
        <v>2097</v>
      </c>
      <c r="O416" t="s">
        <v>67</v>
      </c>
      <c r="P416" t="s">
        <v>117</v>
      </c>
      <c r="Q416" t="s">
        <v>2098</v>
      </c>
      <c r="R416">
        <v>422.89</v>
      </c>
      <c r="S416">
        <v>1</v>
      </c>
      <c r="T416">
        <v>0</v>
      </c>
      <c r="U416">
        <v>-106.6</v>
      </c>
    </row>
    <row r="417" spans="1:21" x14ac:dyDescent="0.35">
      <c r="A417" t="s">
        <v>2099</v>
      </c>
      <c r="B417" s="2">
        <v>43062</v>
      </c>
      <c r="C417" s="2" t="str">
        <f t="shared" si="12"/>
        <v>November</v>
      </c>
      <c r="D417" s="2" t="str">
        <f t="shared" si="13"/>
        <v>2017</v>
      </c>
      <c r="E417" s="2" t="s">
        <v>6286</v>
      </c>
      <c r="F417" t="s">
        <v>52</v>
      </c>
      <c r="G417" t="s">
        <v>2100</v>
      </c>
      <c r="H417" t="s">
        <v>2101</v>
      </c>
      <c r="I417" t="s">
        <v>55</v>
      </c>
      <c r="J417" t="s">
        <v>24</v>
      </c>
      <c r="K417" t="s">
        <v>212</v>
      </c>
      <c r="L417" t="s">
        <v>65</v>
      </c>
      <c r="M417" t="s">
        <v>27</v>
      </c>
      <c r="N417" t="s">
        <v>2102</v>
      </c>
      <c r="O417" t="s">
        <v>48</v>
      </c>
      <c r="P417" t="s">
        <v>76</v>
      </c>
      <c r="Q417" t="s">
        <v>2103</v>
      </c>
      <c r="R417">
        <v>928.88</v>
      </c>
      <c r="S417">
        <v>9</v>
      </c>
      <c r="T417">
        <v>0.2</v>
      </c>
      <c r="U417">
        <v>272.77</v>
      </c>
    </row>
    <row r="418" spans="1:21" x14ac:dyDescent="0.35">
      <c r="A418" t="s">
        <v>2104</v>
      </c>
      <c r="B418" s="2">
        <v>42713</v>
      </c>
      <c r="C418" s="2" t="str">
        <f t="shared" si="12"/>
        <v>December</v>
      </c>
      <c r="D418" s="2" t="str">
        <f t="shared" si="13"/>
        <v>2016</v>
      </c>
      <c r="E418" s="2" t="s">
        <v>5939</v>
      </c>
      <c r="F418" t="s">
        <v>62</v>
      </c>
      <c r="G418" t="s">
        <v>2105</v>
      </c>
      <c r="H418" t="s">
        <v>2106</v>
      </c>
      <c r="I418" t="s">
        <v>35</v>
      </c>
      <c r="J418" t="s">
        <v>24</v>
      </c>
      <c r="K418" t="s">
        <v>45</v>
      </c>
      <c r="L418" t="s">
        <v>56</v>
      </c>
      <c r="M418" t="s">
        <v>74</v>
      </c>
      <c r="N418" t="s">
        <v>2107</v>
      </c>
      <c r="O418" t="s">
        <v>48</v>
      </c>
      <c r="P418" t="s">
        <v>59</v>
      </c>
      <c r="Q418" t="s">
        <v>315</v>
      </c>
      <c r="R418">
        <v>1735.58</v>
      </c>
      <c r="S418">
        <v>7</v>
      </c>
      <c r="T418">
        <v>0.1</v>
      </c>
      <c r="U418">
        <v>626.58000000000004</v>
      </c>
    </row>
    <row r="419" spans="1:21" x14ac:dyDescent="0.35">
      <c r="A419" t="s">
        <v>2108</v>
      </c>
      <c r="B419" s="2">
        <v>42475</v>
      </c>
      <c r="C419" s="2" t="str">
        <f t="shared" si="12"/>
        <v>April</v>
      </c>
      <c r="D419" s="2" t="str">
        <f t="shared" si="13"/>
        <v>2016</v>
      </c>
      <c r="E419" s="2" t="s">
        <v>6287</v>
      </c>
      <c r="F419" t="s">
        <v>20</v>
      </c>
      <c r="G419" t="s">
        <v>2109</v>
      </c>
      <c r="H419" t="s">
        <v>2110</v>
      </c>
      <c r="I419" t="s">
        <v>23</v>
      </c>
      <c r="J419" t="s">
        <v>24</v>
      </c>
      <c r="K419" t="s">
        <v>45</v>
      </c>
      <c r="L419" t="s">
        <v>90</v>
      </c>
      <c r="M419" t="s">
        <v>27</v>
      </c>
      <c r="N419" t="s">
        <v>2111</v>
      </c>
      <c r="O419" t="s">
        <v>29</v>
      </c>
      <c r="P419" t="s">
        <v>110</v>
      </c>
      <c r="Q419" t="s">
        <v>2112</v>
      </c>
      <c r="R419">
        <v>672.94</v>
      </c>
      <c r="S419">
        <v>6</v>
      </c>
      <c r="T419">
        <v>0.4</v>
      </c>
      <c r="U419">
        <v>-18.100000000000001</v>
      </c>
    </row>
    <row r="420" spans="1:21" x14ac:dyDescent="0.35">
      <c r="A420" t="s">
        <v>2113</v>
      </c>
      <c r="B420" s="2">
        <v>43568</v>
      </c>
      <c r="C420" s="2" t="str">
        <f t="shared" si="12"/>
        <v>April</v>
      </c>
      <c r="D420" s="2" t="str">
        <f t="shared" si="13"/>
        <v>2019</v>
      </c>
      <c r="E420" s="2" t="s">
        <v>5904</v>
      </c>
      <c r="F420" t="s">
        <v>52</v>
      </c>
      <c r="G420" t="s">
        <v>2114</v>
      </c>
      <c r="H420" t="s">
        <v>2115</v>
      </c>
      <c r="I420" t="s">
        <v>35</v>
      </c>
      <c r="J420" t="s">
        <v>24</v>
      </c>
      <c r="K420" t="s">
        <v>89</v>
      </c>
      <c r="L420" t="s">
        <v>36</v>
      </c>
      <c r="M420" t="s">
        <v>27</v>
      </c>
      <c r="N420" t="s">
        <v>2116</v>
      </c>
      <c r="O420" t="s">
        <v>48</v>
      </c>
      <c r="P420" t="s">
        <v>59</v>
      </c>
      <c r="Q420" t="s">
        <v>315</v>
      </c>
      <c r="R420">
        <v>1992.43</v>
      </c>
      <c r="S420">
        <v>9</v>
      </c>
      <c r="T420">
        <v>0.2</v>
      </c>
      <c r="U420">
        <v>153.26</v>
      </c>
    </row>
    <row r="421" spans="1:21" x14ac:dyDescent="0.35">
      <c r="A421" t="s">
        <v>2117</v>
      </c>
      <c r="B421" s="2">
        <v>43361</v>
      </c>
      <c r="C421" s="2" t="str">
        <f t="shared" si="12"/>
        <v>September</v>
      </c>
      <c r="D421" s="2" t="str">
        <f t="shared" si="13"/>
        <v>2018</v>
      </c>
      <c r="E421" s="2" t="s">
        <v>6142</v>
      </c>
      <c r="F421" t="s">
        <v>62</v>
      </c>
      <c r="G421" t="s">
        <v>2118</v>
      </c>
      <c r="H421" t="s">
        <v>2119</v>
      </c>
      <c r="I421" t="s">
        <v>55</v>
      </c>
      <c r="J421" t="s">
        <v>24</v>
      </c>
      <c r="K421" t="s">
        <v>212</v>
      </c>
      <c r="L421" t="s">
        <v>26</v>
      </c>
      <c r="M421" t="s">
        <v>57</v>
      </c>
      <c r="N421" t="s">
        <v>2120</v>
      </c>
      <c r="O421" t="s">
        <v>29</v>
      </c>
      <c r="P421" t="s">
        <v>155</v>
      </c>
      <c r="Q421" t="s">
        <v>2121</v>
      </c>
      <c r="R421">
        <v>1469.12</v>
      </c>
      <c r="S421">
        <v>5</v>
      </c>
      <c r="T421">
        <v>0</v>
      </c>
      <c r="U421">
        <v>-67.03</v>
      </c>
    </row>
    <row r="422" spans="1:21" x14ac:dyDescent="0.35">
      <c r="A422" t="s">
        <v>2122</v>
      </c>
      <c r="B422" s="2">
        <v>43548</v>
      </c>
      <c r="C422" s="2" t="str">
        <f t="shared" si="12"/>
        <v>March</v>
      </c>
      <c r="D422" s="2" t="str">
        <f t="shared" si="13"/>
        <v>2019</v>
      </c>
      <c r="E422" s="2">
        <v>43528</v>
      </c>
      <c r="F422" t="s">
        <v>20</v>
      </c>
      <c r="G422" t="s">
        <v>2123</v>
      </c>
      <c r="H422" t="s">
        <v>2124</v>
      </c>
      <c r="I422" t="s">
        <v>55</v>
      </c>
      <c r="J422" t="s">
        <v>24</v>
      </c>
      <c r="K422" t="s">
        <v>25</v>
      </c>
      <c r="L422" t="s">
        <v>56</v>
      </c>
      <c r="M422" t="s">
        <v>57</v>
      </c>
      <c r="N422" t="s">
        <v>2125</v>
      </c>
      <c r="O422" t="s">
        <v>67</v>
      </c>
      <c r="P422" t="s">
        <v>68</v>
      </c>
      <c r="Q422" t="s">
        <v>2126</v>
      </c>
      <c r="R422">
        <v>1674.24</v>
      </c>
      <c r="S422">
        <v>7</v>
      </c>
      <c r="T422">
        <v>0.2</v>
      </c>
      <c r="U422">
        <v>15.82</v>
      </c>
    </row>
    <row r="423" spans="1:21" x14ac:dyDescent="0.35">
      <c r="A423" t="s">
        <v>2127</v>
      </c>
      <c r="B423" s="2">
        <v>42645</v>
      </c>
      <c r="C423" s="2" t="str">
        <f t="shared" si="12"/>
        <v>October</v>
      </c>
      <c r="D423" s="2" t="str">
        <f t="shared" si="13"/>
        <v>2016</v>
      </c>
      <c r="E423" s="2">
        <v>42470</v>
      </c>
      <c r="F423" t="s">
        <v>42</v>
      </c>
      <c r="G423" t="s">
        <v>2128</v>
      </c>
      <c r="H423" t="s">
        <v>2129</v>
      </c>
      <c r="I423" t="s">
        <v>23</v>
      </c>
      <c r="J423" t="s">
        <v>24</v>
      </c>
      <c r="K423" t="s">
        <v>36</v>
      </c>
      <c r="L423" t="s">
        <v>56</v>
      </c>
      <c r="M423" t="s">
        <v>27</v>
      </c>
      <c r="N423" t="s">
        <v>2130</v>
      </c>
      <c r="O423" t="s">
        <v>67</v>
      </c>
      <c r="P423" t="s">
        <v>92</v>
      </c>
      <c r="Q423" t="s">
        <v>2131</v>
      </c>
      <c r="R423">
        <v>925.3</v>
      </c>
      <c r="S423">
        <v>5</v>
      </c>
      <c r="T423">
        <v>0.2</v>
      </c>
      <c r="U423">
        <v>-213.99</v>
      </c>
    </row>
    <row r="424" spans="1:21" x14ac:dyDescent="0.35">
      <c r="A424" t="s">
        <v>2132</v>
      </c>
      <c r="B424" s="2">
        <v>42996</v>
      </c>
      <c r="C424" s="2" t="str">
        <f t="shared" si="12"/>
        <v>September</v>
      </c>
      <c r="D424" s="2" t="str">
        <f t="shared" si="13"/>
        <v>2017</v>
      </c>
      <c r="E424" s="2" t="s">
        <v>6268</v>
      </c>
      <c r="F424" t="s">
        <v>42</v>
      </c>
      <c r="G424" t="s">
        <v>2133</v>
      </c>
      <c r="H424" t="s">
        <v>2134</v>
      </c>
      <c r="I424" t="s">
        <v>23</v>
      </c>
      <c r="J424" t="s">
        <v>24</v>
      </c>
      <c r="K424" t="s">
        <v>133</v>
      </c>
      <c r="L424" t="s">
        <v>170</v>
      </c>
      <c r="M424" t="s">
        <v>74</v>
      </c>
      <c r="N424" t="s">
        <v>2135</v>
      </c>
      <c r="O424" t="s">
        <v>48</v>
      </c>
      <c r="P424" t="s">
        <v>59</v>
      </c>
      <c r="Q424" t="s">
        <v>2136</v>
      </c>
      <c r="R424">
        <v>1668.23</v>
      </c>
      <c r="S424">
        <v>10</v>
      </c>
      <c r="T424">
        <v>0.4</v>
      </c>
      <c r="U424">
        <v>630.54999999999995</v>
      </c>
    </row>
    <row r="425" spans="1:21" x14ac:dyDescent="0.35">
      <c r="A425" t="s">
        <v>2137</v>
      </c>
      <c r="B425" s="2">
        <v>43794</v>
      </c>
      <c r="C425" s="2" t="str">
        <f t="shared" si="12"/>
        <v>November</v>
      </c>
      <c r="D425" s="2" t="str">
        <f t="shared" si="13"/>
        <v>2019</v>
      </c>
      <c r="E425" s="2" t="s">
        <v>6084</v>
      </c>
      <c r="F425" t="s">
        <v>20</v>
      </c>
      <c r="G425" t="s">
        <v>2138</v>
      </c>
      <c r="H425" t="s">
        <v>2032</v>
      </c>
      <c r="I425" t="s">
        <v>55</v>
      </c>
      <c r="J425" t="s">
        <v>24</v>
      </c>
      <c r="K425" t="s">
        <v>36</v>
      </c>
      <c r="L425" t="s">
        <v>46</v>
      </c>
      <c r="M425" t="s">
        <v>57</v>
      </c>
      <c r="N425" t="s">
        <v>2139</v>
      </c>
      <c r="O425" t="s">
        <v>29</v>
      </c>
      <c r="P425" t="s">
        <v>110</v>
      </c>
      <c r="Q425" t="s">
        <v>2140</v>
      </c>
      <c r="R425">
        <v>131.51</v>
      </c>
      <c r="S425">
        <v>1</v>
      </c>
      <c r="T425">
        <v>0.4</v>
      </c>
      <c r="U425">
        <v>-4.13</v>
      </c>
    </row>
    <row r="426" spans="1:21" x14ac:dyDescent="0.35">
      <c r="A426" t="s">
        <v>2141</v>
      </c>
      <c r="B426" s="2">
        <v>42446</v>
      </c>
      <c r="C426" s="2" t="str">
        <f t="shared" si="12"/>
        <v>March</v>
      </c>
      <c r="D426" s="2" t="str">
        <f t="shared" si="13"/>
        <v>2016</v>
      </c>
      <c r="E426" s="2" t="s">
        <v>6205</v>
      </c>
      <c r="F426" t="s">
        <v>42</v>
      </c>
      <c r="G426" t="s">
        <v>2142</v>
      </c>
      <c r="H426" t="s">
        <v>2143</v>
      </c>
      <c r="I426" t="s">
        <v>23</v>
      </c>
      <c r="J426" t="s">
        <v>24</v>
      </c>
      <c r="K426" t="s">
        <v>45</v>
      </c>
      <c r="L426" t="s">
        <v>26</v>
      </c>
      <c r="M426" t="s">
        <v>57</v>
      </c>
      <c r="N426" t="s">
        <v>2144</v>
      </c>
      <c r="O426" t="s">
        <v>48</v>
      </c>
      <c r="P426" t="s">
        <v>59</v>
      </c>
      <c r="Q426" t="s">
        <v>2145</v>
      </c>
      <c r="R426">
        <v>1564.86</v>
      </c>
      <c r="S426">
        <v>9</v>
      </c>
      <c r="T426">
        <v>0.1</v>
      </c>
      <c r="U426">
        <v>636.66999999999996</v>
      </c>
    </row>
    <row r="427" spans="1:21" x14ac:dyDescent="0.35">
      <c r="A427" t="s">
        <v>2146</v>
      </c>
      <c r="B427" s="2">
        <v>43289</v>
      </c>
      <c r="C427" s="2" t="str">
        <f t="shared" si="12"/>
        <v>July</v>
      </c>
      <c r="D427" s="2" t="str">
        <f t="shared" si="13"/>
        <v>2018</v>
      </c>
      <c r="E427" s="2" t="s">
        <v>6150</v>
      </c>
      <c r="F427" t="s">
        <v>62</v>
      </c>
      <c r="G427" t="s">
        <v>2147</v>
      </c>
      <c r="H427" t="s">
        <v>2148</v>
      </c>
      <c r="I427" t="s">
        <v>35</v>
      </c>
      <c r="J427" t="s">
        <v>24</v>
      </c>
      <c r="K427" t="s">
        <v>45</v>
      </c>
      <c r="L427" t="s">
        <v>26</v>
      </c>
      <c r="M427" t="s">
        <v>74</v>
      </c>
      <c r="N427" t="s">
        <v>2149</v>
      </c>
      <c r="O427" t="s">
        <v>67</v>
      </c>
      <c r="P427" t="s">
        <v>229</v>
      </c>
      <c r="Q427" t="s">
        <v>2150</v>
      </c>
      <c r="R427">
        <v>1945.73</v>
      </c>
      <c r="S427">
        <v>3</v>
      </c>
      <c r="T427">
        <v>0</v>
      </c>
      <c r="U427">
        <v>-488.54</v>
      </c>
    </row>
    <row r="428" spans="1:21" x14ac:dyDescent="0.35">
      <c r="A428" t="s">
        <v>2151</v>
      </c>
      <c r="B428" s="2">
        <v>42378</v>
      </c>
      <c r="C428" s="2" t="str">
        <f t="shared" si="12"/>
        <v>January</v>
      </c>
      <c r="D428" s="2" t="str">
        <f t="shared" si="13"/>
        <v>2016</v>
      </c>
      <c r="E428" s="2" t="s">
        <v>5901</v>
      </c>
      <c r="F428" t="s">
        <v>62</v>
      </c>
      <c r="G428" t="s">
        <v>2152</v>
      </c>
      <c r="H428" t="s">
        <v>2153</v>
      </c>
      <c r="I428" t="s">
        <v>35</v>
      </c>
      <c r="J428" t="s">
        <v>24</v>
      </c>
      <c r="K428" t="s">
        <v>97</v>
      </c>
      <c r="L428" t="s">
        <v>36</v>
      </c>
      <c r="M428" t="s">
        <v>57</v>
      </c>
      <c r="N428" t="s">
        <v>2154</v>
      </c>
      <c r="O428" t="s">
        <v>48</v>
      </c>
      <c r="P428" t="s">
        <v>128</v>
      </c>
      <c r="Q428" t="s">
        <v>2155</v>
      </c>
      <c r="R428">
        <v>1640.15</v>
      </c>
      <c r="S428">
        <v>4</v>
      </c>
      <c r="T428">
        <v>0.4</v>
      </c>
      <c r="U428">
        <v>69.239999999999995</v>
      </c>
    </row>
    <row r="429" spans="1:21" x14ac:dyDescent="0.35">
      <c r="A429" t="s">
        <v>2156</v>
      </c>
      <c r="B429" s="2">
        <v>43371</v>
      </c>
      <c r="C429" s="2" t="str">
        <f t="shared" si="12"/>
        <v>September</v>
      </c>
      <c r="D429" s="2" t="str">
        <f t="shared" si="13"/>
        <v>2018</v>
      </c>
      <c r="E429" s="2">
        <v>43230</v>
      </c>
      <c r="F429" t="s">
        <v>20</v>
      </c>
      <c r="G429" t="s">
        <v>2157</v>
      </c>
      <c r="H429" t="s">
        <v>2158</v>
      </c>
      <c r="I429" t="s">
        <v>35</v>
      </c>
      <c r="J429" t="s">
        <v>24</v>
      </c>
      <c r="K429" t="s">
        <v>36</v>
      </c>
      <c r="L429" t="s">
        <v>115</v>
      </c>
      <c r="M429" t="s">
        <v>74</v>
      </c>
      <c r="N429" t="s">
        <v>2159</v>
      </c>
      <c r="O429" t="s">
        <v>29</v>
      </c>
      <c r="P429" t="s">
        <v>155</v>
      </c>
      <c r="Q429" t="s">
        <v>2160</v>
      </c>
      <c r="R429">
        <v>1969.41</v>
      </c>
      <c r="S429">
        <v>6</v>
      </c>
      <c r="T429">
        <v>0</v>
      </c>
      <c r="U429">
        <v>213.68</v>
      </c>
    </row>
    <row r="430" spans="1:21" x14ac:dyDescent="0.35">
      <c r="A430" t="s">
        <v>2161</v>
      </c>
      <c r="B430" s="2">
        <v>43163</v>
      </c>
      <c r="C430" s="2" t="str">
        <f t="shared" si="12"/>
        <v>March</v>
      </c>
      <c r="D430" s="2" t="str">
        <f t="shared" si="13"/>
        <v>2018</v>
      </c>
      <c r="E430" s="2">
        <v>43315</v>
      </c>
      <c r="F430" t="s">
        <v>52</v>
      </c>
      <c r="G430" t="s">
        <v>2162</v>
      </c>
      <c r="H430" t="s">
        <v>1093</v>
      </c>
      <c r="I430" t="s">
        <v>55</v>
      </c>
      <c r="J430" t="s">
        <v>24</v>
      </c>
      <c r="K430" t="s">
        <v>97</v>
      </c>
      <c r="L430" t="s">
        <v>170</v>
      </c>
      <c r="M430" t="s">
        <v>57</v>
      </c>
      <c r="N430" t="s">
        <v>2163</v>
      </c>
      <c r="O430" t="s">
        <v>29</v>
      </c>
      <c r="P430" t="s">
        <v>155</v>
      </c>
      <c r="Q430" t="s">
        <v>2164</v>
      </c>
      <c r="R430">
        <v>1736.72</v>
      </c>
      <c r="S430">
        <v>2</v>
      </c>
      <c r="T430">
        <v>0.4</v>
      </c>
      <c r="U430">
        <v>-139.07</v>
      </c>
    </row>
    <row r="431" spans="1:21" x14ac:dyDescent="0.35">
      <c r="A431" t="s">
        <v>2165</v>
      </c>
      <c r="B431" s="2">
        <v>43767</v>
      </c>
      <c r="C431" s="2" t="str">
        <f t="shared" si="12"/>
        <v>October</v>
      </c>
      <c r="D431" s="2" t="str">
        <f t="shared" si="13"/>
        <v>2019</v>
      </c>
      <c r="E431" s="2" t="s">
        <v>6152</v>
      </c>
      <c r="F431" t="s">
        <v>62</v>
      </c>
      <c r="G431" t="s">
        <v>2166</v>
      </c>
      <c r="H431" t="s">
        <v>2167</v>
      </c>
      <c r="I431" t="s">
        <v>35</v>
      </c>
      <c r="J431" t="s">
        <v>24</v>
      </c>
      <c r="K431" t="s">
        <v>97</v>
      </c>
      <c r="L431" t="s">
        <v>37</v>
      </c>
      <c r="M431" t="s">
        <v>57</v>
      </c>
      <c r="N431" t="s">
        <v>2168</v>
      </c>
      <c r="O431" t="s">
        <v>29</v>
      </c>
      <c r="P431" t="s">
        <v>30</v>
      </c>
      <c r="Q431" t="s">
        <v>2169</v>
      </c>
      <c r="R431">
        <v>401.85</v>
      </c>
      <c r="S431">
        <v>5</v>
      </c>
      <c r="T431">
        <v>0</v>
      </c>
      <c r="U431">
        <v>-107.07</v>
      </c>
    </row>
    <row r="432" spans="1:21" x14ac:dyDescent="0.35">
      <c r="A432" t="s">
        <v>2170</v>
      </c>
      <c r="B432" s="2">
        <v>43756</v>
      </c>
      <c r="C432" s="2" t="str">
        <f t="shared" si="12"/>
        <v>October</v>
      </c>
      <c r="D432" s="2" t="str">
        <f t="shared" si="13"/>
        <v>2019</v>
      </c>
      <c r="E432" s="2" t="s">
        <v>5991</v>
      </c>
      <c r="F432" t="s">
        <v>62</v>
      </c>
      <c r="G432" t="s">
        <v>2171</v>
      </c>
      <c r="H432" t="s">
        <v>354</v>
      </c>
      <c r="I432" t="s">
        <v>23</v>
      </c>
      <c r="J432" t="s">
        <v>24</v>
      </c>
      <c r="K432" t="s">
        <v>97</v>
      </c>
      <c r="L432" t="s">
        <v>90</v>
      </c>
      <c r="M432" t="s">
        <v>83</v>
      </c>
      <c r="N432" t="s">
        <v>2172</v>
      </c>
      <c r="O432" t="s">
        <v>29</v>
      </c>
      <c r="P432" t="s">
        <v>30</v>
      </c>
      <c r="Q432" t="s">
        <v>2173</v>
      </c>
      <c r="R432">
        <v>589.91999999999996</v>
      </c>
      <c r="S432">
        <v>1</v>
      </c>
      <c r="T432">
        <v>0</v>
      </c>
      <c r="U432">
        <v>-62.36</v>
      </c>
    </row>
    <row r="433" spans="1:21" x14ac:dyDescent="0.35">
      <c r="A433" t="s">
        <v>2174</v>
      </c>
      <c r="B433" s="2">
        <v>42724</v>
      </c>
      <c r="C433" s="2" t="str">
        <f t="shared" si="12"/>
        <v>December</v>
      </c>
      <c r="D433" s="2" t="str">
        <f t="shared" si="13"/>
        <v>2016</v>
      </c>
      <c r="E433" s="2" t="s">
        <v>6288</v>
      </c>
      <c r="F433" t="s">
        <v>62</v>
      </c>
      <c r="G433" t="s">
        <v>2175</v>
      </c>
      <c r="H433" t="s">
        <v>1177</v>
      </c>
      <c r="I433" t="s">
        <v>55</v>
      </c>
      <c r="J433" t="s">
        <v>24</v>
      </c>
      <c r="K433" t="s">
        <v>25</v>
      </c>
      <c r="L433" t="s">
        <v>26</v>
      </c>
      <c r="M433" t="s">
        <v>83</v>
      </c>
      <c r="N433" t="s">
        <v>2176</v>
      </c>
      <c r="O433" t="s">
        <v>48</v>
      </c>
      <c r="P433" t="s">
        <v>76</v>
      </c>
      <c r="Q433" t="s">
        <v>2177</v>
      </c>
      <c r="R433">
        <v>1220.1400000000001</v>
      </c>
      <c r="S433">
        <v>6</v>
      </c>
      <c r="T433">
        <v>0</v>
      </c>
      <c r="U433">
        <v>12.55</v>
      </c>
    </row>
    <row r="434" spans="1:21" x14ac:dyDescent="0.35">
      <c r="A434" t="s">
        <v>2178</v>
      </c>
      <c r="B434" s="2">
        <v>42424</v>
      </c>
      <c r="C434" s="2" t="str">
        <f t="shared" si="12"/>
        <v>February</v>
      </c>
      <c r="D434" s="2" t="str">
        <f t="shared" si="13"/>
        <v>2016</v>
      </c>
      <c r="E434" s="2">
        <v>42463</v>
      </c>
      <c r="F434" t="s">
        <v>52</v>
      </c>
      <c r="G434" t="s">
        <v>2179</v>
      </c>
      <c r="H434" t="s">
        <v>2180</v>
      </c>
      <c r="I434" t="s">
        <v>23</v>
      </c>
      <c r="J434" t="s">
        <v>24</v>
      </c>
      <c r="K434" t="s">
        <v>212</v>
      </c>
      <c r="L434" t="s">
        <v>46</v>
      </c>
      <c r="M434" t="s">
        <v>74</v>
      </c>
      <c r="N434" t="s">
        <v>2181</v>
      </c>
      <c r="O434" t="s">
        <v>29</v>
      </c>
      <c r="P434" t="s">
        <v>110</v>
      </c>
      <c r="Q434" t="s">
        <v>907</v>
      </c>
      <c r="R434">
        <v>1568.32</v>
      </c>
      <c r="S434">
        <v>8</v>
      </c>
      <c r="T434">
        <v>0</v>
      </c>
      <c r="U434">
        <v>231.43</v>
      </c>
    </row>
    <row r="435" spans="1:21" x14ac:dyDescent="0.35">
      <c r="A435" t="s">
        <v>2182</v>
      </c>
      <c r="B435" s="2">
        <v>42536</v>
      </c>
      <c r="C435" s="2" t="str">
        <f t="shared" si="12"/>
        <v>June</v>
      </c>
      <c r="D435" s="2" t="str">
        <f t="shared" si="13"/>
        <v>2016</v>
      </c>
      <c r="E435" s="2" t="s">
        <v>5925</v>
      </c>
      <c r="F435" t="s">
        <v>52</v>
      </c>
      <c r="G435" t="s">
        <v>2183</v>
      </c>
      <c r="H435" t="s">
        <v>2184</v>
      </c>
      <c r="I435" t="s">
        <v>35</v>
      </c>
      <c r="J435" t="s">
        <v>24</v>
      </c>
      <c r="K435" t="s">
        <v>212</v>
      </c>
      <c r="L435" t="s">
        <v>115</v>
      </c>
      <c r="M435" t="s">
        <v>57</v>
      </c>
      <c r="N435" t="s">
        <v>2185</v>
      </c>
      <c r="O435" t="s">
        <v>67</v>
      </c>
      <c r="P435" t="s">
        <v>350</v>
      </c>
      <c r="Q435" t="s">
        <v>2186</v>
      </c>
      <c r="R435">
        <v>282.79000000000002</v>
      </c>
      <c r="S435">
        <v>2</v>
      </c>
      <c r="T435">
        <v>0.4</v>
      </c>
      <c r="U435">
        <v>-66.28</v>
      </c>
    </row>
    <row r="436" spans="1:21" x14ac:dyDescent="0.35">
      <c r="A436" t="s">
        <v>2187</v>
      </c>
      <c r="B436" s="2">
        <v>42453</v>
      </c>
      <c r="C436" s="2" t="str">
        <f t="shared" si="12"/>
        <v>March</v>
      </c>
      <c r="D436" s="2" t="str">
        <f t="shared" si="13"/>
        <v>2016</v>
      </c>
      <c r="E436" s="2">
        <v>42433</v>
      </c>
      <c r="F436" t="s">
        <v>42</v>
      </c>
      <c r="G436" t="s">
        <v>2188</v>
      </c>
      <c r="H436" t="s">
        <v>2189</v>
      </c>
      <c r="I436" t="s">
        <v>35</v>
      </c>
      <c r="J436" t="s">
        <v>24</v>
      </c>
      <c r="K436" t="s">
        <v>81</v>
      </c>
      <c r="L436" t="s">
        <v>56</v>
      </c>
      <c r="M436" t="s">
        <v>27</v>
      </c>
      <c r="N436" t="s">
        <v>2190</v>
      </c>
      <c r="O436" t="s">
        <v>48</v>
      </c>
      <c r="P436" t="s">
        <v>76</v>
      </c>
      <c r="Q436" t="s">
        <v>2191</v>
      </c>
      <c r="R436">
        <v>1483.44</v>
      </c>
      <c r="S436">
        <v>5</v>
      </c>
      <c r="T436">
        <v>0</v>
      </c>
      <c r="U436">
        <v>422.84</v>
      </c>
    </row>
    <row r="437" spans="1:21" x14ac:dyDescent="0.35">
      <c r="A437" t="s">
        <v>2192</v>
      </c>
      <c r="B437" s="2">
        <v>43809</v>
      </c>
      <c r="C437" s="2" t="str">
        <f t="shared" si="12"/>
        <v>December</v>
      </c>
      <c r="D437" s="2" t="str">
        <f t="shared" si="13"/>
        <v>2019</v>
      </c>
      <c r="E437" s="2" t="s">
        <v>6289</v>
      </c>
      <c r="F437" t="s">
        <v>20</v>
      </c>
      <c r="G437" t="s">
        <v>2193</v>
      </c>
      <c r="H437" t="s">
        <v>2194</v>
      </c>
      <c r="I437" t="s">
        <v>55</v>
      </c>
      <c r="J437" t="s">
        <v>24</v>
      </c>
      <c r="K437" t="s">
        <v>212</v>
      </c>
      <c r="L437" t="s">
        <v>82</v>
      </c>
      <c r="M437" t="s">
        <v>83</v>
      </c>
      <c r="N437" t="s">
        <v>2195</v>
      </c>
      <c r="O437" t="s">
        <v>48</v>
      </c>
      <c r="P437" t="s">
        <v>128</v>
      </c>
      <c r="Q437" t="s">
        <v>2196</v>
      </c>
      <c r="R437">
        <v>1575.83</v>
      </c>
      <c r="S437">
        <v>1</v>
      </c>
      <c r="T437">
        <v>0.3</v>
      </c>
      <c r="U437">
        <v>-423.22</v>
      </c>
    </row>
    <row r="438" spans="1:21" x14ac:dyDescent="0.35">
      <c r="A438" t="s">
        <v>2197</v>
      </c>
      <c r="B438" s="2">
        <v>42660</v>
      </c>
      <c r="C438" s="2" t="str">
        <f t="shared" si="12"/>
        <v>October</v>
      </c>
      <c r="D438" s="2" t="str">
        <f t="shared" si="13"/>
        <v>2016</v>
      </c>
      <c r="E438" s="2" t="s">
        <v>6290</v>
      </c>
      <c r="F438" t="s">
        <v>42</v>
      </c>
      <c r="G438" t="s">
        <v>2198</v>
      </c>
      <c r="H438" t="s">
        <v>2199</v>
      </c>
      <c r="I438" t="s">
        <v>35</v>
      </c>
      <c r="J438" t="s">
        <v>24</v>
      </c>
      <c r="K438" t="s">
        <v>25</v>
      </c>
      <c r="L438" t="s">
        <v>170</v>
      </c>
      <c r="M438" t="s">
        <v>57</v>
      </c>
      <c r="N438" t="s">
        <v>2200</v>
      </c>
      <c r="O438" t="s">
        <v>67</v>
      </c>
      <c r="P438" t="s">
        <v>117</v>
      </c>
      <c r="Q438" t="s">
        <v>2201</v>
      </c>
      <c r="R438">
        <v>610.21</v>
      </c>
      <c r="S438">
        <v>4</v>
      </c>
      <c r="T438">
        <v>0</v>
      </c>
      <c r="U438">
        <v>203.28</v>
      </c>
    </row>
    <row r="439" spans="1:21" x14ac:dyDescent="0.35">
      <c r="A439" t="s">
        <v>2202</v>
      </c>
      <c r="B439" s="2">
        <v>43383</v>
      </c>
      <c r="C439" s="2" t="str">
        <f t="shared" si="12"/>
        <v>October</v>
      </c>
      <c r="D439" s="2" t="str">
        <f t="shared" si="13"/>
        <v>2018</v>
      </c>
      <c r="E439" s="2">
        <v>43444</v>
      </c>
      <c r="F439" t="s">
        <v>52</v>
      </c>
      <c r="G439" t="s">
        <v>2203</v>
      </c>
      <c r="H439" t="s">
        <v>2204</v>
      </c>
      <c r="I439" t="s">
        <v>23</v>
      </c>
      <c r="J439" t="s">
        <v>24</v>
      </c>
      <c r="K439" t="s">
        <v>45</v>
      </c>
      <c r="L439" t="s">
        <v>90</v>
      </c>
      <c r="M439" t="s">
        <v>27</v>
      </c>
      <c r="N439" t="s">
        <v>2205</v>
      </c>
      <c r="O439" t="s">
        <v>48</v>
      </c>
      <c r="P439" t="s">
        <v>49</v>
      </c>
      <c r="Q439" t="s">
        <v>2206</v>
      </c>
      <c r="R439">
        <v>1688.4</v>
      </c>
      <c r="S439">
        <v>9</v>
      </c>
      <c r="T439">
        <v>0.1</v>
      </c>
      <c r="U439">
        <v>696.51</v>
      </c>
    </row>
    <row r="440" spans="1:21" x14ac:dyDescent="0.35">
      <c r="A440" t="s">
        <v>2207</v>
      </c>
      <c r="B440" s="2">
        <v>43608</v>
      </c>
      <c r="C440" s="2" t="str">
        <f t="shared" si="12"/>
        <v>May</v>
      </c>
      <c r="D440" s="2" t="str">
        <f t="shared" si="13"/>
        <v>2019</v>
      </c>
      <c r="E440" s="2" t="s">
        <v>6002</v>
      </c>
      <c r="F440" t="s">
        <v>62</v>
      </c>
      <c r="G440" t="s">
        <v>2208</v>
      </c>
      <c r="H440" t="s">
        <v>2209</v>
      </c>
      <c r="I440" t="s">
        <v>35</v>
      </c>
      <c r="J440" t="s">
        <v>24</v>
      </c>
      <c r="K440" t="s">
        <v>73</v>
      </c>
      <c r="L440" t="s">
        <v>65</v>
      </c>
      <c r="M440" t="s">
        <v>74</v>
      </c>
      <c r="N440" t="s">
        <v>2210</v>
      </c>
      <c r="O440" t="s">
        <v>48</v>
      </c>
      <c r="P440" t="s">
        <v>128</v>
      </c>
      <c r="Q440" t="s">
        <v>2211</v>
      </c>
      <c r="R440">
        <v>125.13</v>
      </c>
      <c r="S440">
        <v>9</v>
      </c>
      <c r="T440">
        <v>0</v>
      </c>
      <c r="U440">
        <v>-9.11</v>
      </c>
    </row>
    <row r="441" spans="1:21" x14ac:dyDescent="0.35">
      <c r="A441" t="s">
        <v>2212</v>
      </c>
      <c r="B441" s="2">
        <v>42552</v>
      </c>
      <c r="C441" s="2" t="str">
        <f t="shared" si="12"/>
        <v>July</v>
      </c>
      <c r="D441" s="2" t="str">
        <f t="shared" si="13"/>
        <v>2016</v>
      </c>
      <c r="E441" s="2">
        <v>42620</v>
      </c>
      <c r="F441" t="s">
        <v>42</v>
      </c>
      <c r="G441" t="s">
        <v>2213</v>
      </c>
      <c r="H441" t="s">
        <v>2214</v>
      </c>
      <c r="I441" t="s">
        <v>23</v>
      </c>
      <c r="J441" t="s">
        <v>24</v>
      </c>
      <c r="K441" t="s">
        <v>133</v>
      </c>
      <c r="L441" t="s">
        <v>46</v>
      </c>
      <c r="M441" t="s">
        <v>74</v>
      </c>
      <c r="N441" t="s">
        <v>2215</v>
      </c>
      <c r="O441" t="s">
        <v>48</v>
      </c>
      <c r="P441" t="s">
        <v>59</v>
      </c>
      <c r="Q441" t="s">
        <v>2216</v>
      </c>
      <c r="R441">
        <v>1767.21</v>
      </c>
      <c r="S441">
        <v>5</v>
      </c>
      <c r="T441">
        <v>0</v>
      </c>
      <c r="U441">
        <v>240.59</v>
      </c>
    </row>
    <row r="442" spans="1:21" x14ac:dyDescent="0.35">
      <c r="A442" t="s">
        <v>2217</v>
      </c>
      <c r="B442" s="2">
        <v>42496</v>
      </c>
      <c r="C442" s="2" t="str">
        <f t="shared" si="12"/>
        <v>May</v>
      </c>
      <c r="D442" s="2" t="str">
        <f t="shared" si="13"/>
        <v>2016</v>
      </c>
      <c r="E442" s="2">
        <v>42648</v>
      </c>
      <c r="F442" t="s">
        <v>20</v>
      </c>
      <c r="G442" t="s">
        <v>2218</v>
      </c>
      <c r="H442" t="s">
        <v>2219</v>
      </c>
      <c r="I442" t="s">
        <v>55</v>
      </c>
      <c r="J442" t="s">
        <v>24</v>
      </c>
      <c r="K442" t="s">
        <v>212</v>
      </c>
      <c r="L442" t="s">
        <v>56</v>
      </c>
      <c r="M442" t="s">
        <v>57</v>
      </c>
      <c r="N442" t="s">
        <v>2220</v>
      </c>
      <c r="O442" t="s">
        <v>29</v>
      </c>
      <c r="P442" t="s">
        <v>155</v>
      </c>
      <c r="Q442" t="s">
        <v>2221</v>
      </c>
      <c r="R442">
        <v>1816.81</v>
      </c>
      <c r="S442">
        <v>6</v>
      </c>
      <c r="T442">
        <v>0</v>
      </c>
      <c r="U442">
        <v>619.30999999999995</v>
      </c>
    </row>
    <row r="443" spans="1:21" x14ac:dyDescent="0.35">
      <c r="A443" t="s">
        <v>2222</v>
      </c>
      <c r="B443" s="2">
        <v>43154</v>
      </c>
      <c r="C443" s="2" t="str">
        <f t="shared" si="12"/>
        <v>February</v>
      </c>
      <c r="D443" s="2" t="str">
        <f t="shared" si="13"/>
        <v>2018</v>
      </c>
      <c r="E443" s="2" t="s">
        <v>6291</v>
      </c>
      <c r="F443" t="s">
        <v>52</v>
      </c>
      <c r="G443" t="s">
        <v>2223</v>
      </c>
      <c r="H443" t="s">
        <v>2224</v>
      </c>
      <c r="I443" t="s">
        <v>23</v>
      </c>
      <c r="J443" t="s">
        <v>24</v>
      </c>
      <c r="K443" t="s">
        <v>36</v>
      </c>
      <c r="L443" t="s">
        <v>90</v>
      </c>
      <c r="M443" t="s">
        <v>83</v>
      </c>
      <c r="N443" t="s">
        <v>2225</v>
      </c>
      <c r="O443" t="s">
        <v>48</v>
      </c>
      <c r="P443" t="s">
        <v>76</v>
      </c>
      <c r="Q443" t="s">
        <v>2226</v>
      </c>
      <c r="R443">
        <v>856.31</v>
      </c>
      <c r="S443">
        <v>1</v>
      </c>
      <c r="T443">
        <v>0</v>
      </c>
      <c r="U443">
        <v>61.36</v>
      </c>
    </row>
    <row r="444" spans="1:21" x14ac:dyDescent="0.35">
      <c r="A444" t="s">
        <v>2227</v>
      </c>
      <c r="B444" s="2">
        <v>43572</v>
      </c>
      <c r="C444" s="2" t="str">
        <f t="shared" si="12"/>
        <v>April</v>
      </c>
      <c r="D444" s="2" t="str">
        <f t="shared" si="13"/>
        <v>2019</v>
      </c>
      <c r="E444" s="2" t="s">
        <v>5913</v>
      </c>
      <c r="F444" t="s">
        <v>62</v>
      </c>
      <c r="G444" t="s">
        <v>2228</v>
      </c>
      <c r="H444" t="s">
        <v>2229</v>
      </c>
      <c r="I444" t="s">
        <v>23</v>
      </c>
      <c r="J444" t="s">
        <v>24</v>
      </c>
      <c r="K444" t="s">
        <v>36</v>
      </c>
      <c r="L444" t="s">
        <v>170</v>
      </c>
      <c r="M444" t="s">
        <v>27</v>
      </c>
      <c r="N444" t="s">
        <v>2230</v>
      </c>
      <c r="O444" t="s">
        <v>48</v>
      </c>
      <c r="P444" t="s">
        <v>59</v>
      </c>
      <c r="Q444" t="s">
        <v>2231</v>
      </c>
      <c r="R444">
        <v>1074.79</v>
      </c>
      <c r="S444">
        <v>2</v>
      </c>
      <c r="T444">
        <v>0.3</v>
      </c>
      <c r="U444">
        <v>188.32</v>
      </c>
    </row>
    <row r="445" spans="1:21" x14ac:dyDescent="0.35">
      <c r="A445" t="s">
        <v>2232</v>
      </c>
      <c r="B445" s="2">
        <v>42903</v>
      </c>
      <c r="C445" s="2" t="str">
        <f t="shared" si="12"/>
        <v>June</v>
      </c>
      <c r="D445" s="2" t="str">
        <f t="shared" si="13"/>
        <v>2017</v>
      </c>
      <c r="E445" s="2" t="s">
        <v>6086</v>
      </c>
      <c r="F445" t="s">
        <v>62</v>
      </c>
      <c r="G445" t="s">
        <v>2233</v>
      </c>
      <c r="H445" t="s">
        <v>2234</v>
      </c>
      <c r="I445" t="s">
        <v>55</v>
      </c>
      <c r="J445" t="s">
        <v>24</v>
      </c>
      <c r="K445" t="s">
        <v>25</v>
      </c>
      <c r="L445" t="s">
        <v>46</v>
      </c>
      <c r="M445" t="s">
        <v>83</v>
      </c>
      <c r="N445" t="s">
        <v>2235</v>
      </c>
      <c r="O445" t="s">
        <v>67</v>
      </c>
      <c r="P445" t="s">
        <v>229</v>
      </c>
      <c r="Q445" t="s">
        <v>2236</v>
      </c>
      <c r="R445">
        <v>73.650000000000006</v>
      </c>
      <c r="S445">
        <v>7</v>
      </c>
      <c r="T445">
        <v>0.4</v>
      </c>
      <c r="U445">
        <v>24.34</v>
      </c>
    </row>
    <row r="446" spans="1:21" x14ac:dyDescent="0.35">
      <c r="A446" t="s">
        <v>2237</v>
      </c>
      <c r="B446" s="2">
        <v>42943</v>
      </c>
      <c r="C446" s="2" t="str">
        <f t="shared" si="12"/>
        <v>July</v>
      </c>
      <c r="D446" s="2" t="str">
        <f t="shared" si="13"/>
        <v>2017</v>
      </c>
      <c r="E446" s="2">
        <v>42894</v>
      </c>
      <c r="F446" t="s">
        <v>62</v>
      </c>
      <c r="G446" t="s">
        <v>2238</v>
      </c>
      <c r="H446" t="s">
        <v>2239</v>
      </c>
      <c r="I446" t="s">
        <v>55</v>
      </c>
      <c r="J446" t="s">
        <v>24</v>
      </c>
      <c r="K446" t="s">
        <v>25</v>
      </c>
      <c r="L446" t="s">
        <v>90</v>
      </c>
      <c r="M446" t="s">
        <v>57</v>
      </c>
      <c r="N446" t="s">
        <v>2240</v>
      </c>
      <c r="O446" t="s">
        <v>29</v>
      </c>
      <c r="P446" t="s">
        <v>110</v>
      </c>
      <c r="Q446" t="s">
        <v>2241</v>
      </c>
      <c r="R446">
        <v>107.2</v>
      </c>
      <c r="S446">
        <v>5</v>
      </c>
      <c r="T446">
        <v>0.1</v>
      </c>
      <c r="U446">
        <v>35.94</v>
      </c>
    </row>
    <row r="447" spans="1:21" x14ac:dyDescent="0.35">
      <c r="A447" t="s">
        <v>2242</v>
      </c>
      <c r="B447" s="2">
        <v>43508</v>
      </c>
      <c r="C447" s="2" t="str">
        <f t="shared" si="12"/>
        <v>February</v>
      </c>
      <c r="D447" s="2" t="str">
        <f t="shared" si="13"/>
        <v>2019</v>
      </c>
      <c r="E447" s="2" t="s">
        <v>6292</v>
      </c>
      <c r="F447" t="s">
        <v>42</v>
      </c>
      <c r="G447" t="s">
        <v>2243</v>
      </c>
      <c r="H447" t="s">
        <v>2244</v>
      </c>
      <c r="I447" t="s">
        <v>23</v>
      </c>
      <c r="J447" t="s">
        <v>24</v>
      </c>
      <c r="K447" t="s">
        <v>97</v>
      </c>
      <c r="L447" t="s">
        <v>82</v>
      </c>
      <c r="M447" t="s">
        <v>83</v>
      </c>
      <c r="N447" t="s">
        <v>2245</v>
      </c>
      <c r="O447" t="s">
        <v>67</v>
      </c>
      <c r="P447" t="s">
        <v>92</v>
      </c>
      <c r="Q447" t="s">
        <v>2246</v>
      </c>
      <c r="R447">
        <v>254.73</v>
      </c>
      <c r="S447">
        <v>7</v>
      </c>
      <c r="T447">
        <v>0.3</v>
      </c>
      <c r="U447">
        <v>-12.54</v>
      </c>
    </row>
    <row r="448" spans="1:21" x14ac:dyDescent="0.35">
      <c r="A448" t="s">
        <v>2247</v>
      </c>
      <c r="B448" s="2">
        <v>43772</v>
      </c>
      <c r="C448" s="2" t="str">
        <f t="shared" si="12"/>
        <v>November</v>
      </c>
      <c r="D448" s="2" t="str">
        <f t="shared" si="13"/>
        <v>2019</v>
      </c>
      <c r="E448" s="2">
        <v>43749</v>
      </c>
      <c r="F448" t="s">
        <v>62</v>
      </c>
      <c r="G448" t="s">
        <v>2248</v>
      </c>
      <c r="H448" t="s">
        <v>2249</v>
      </c>
      <c r="I448" t="s">
        <v>35</v>
      </c>
      <c r="J448" t="s">
        <v>24</v>
      </c>
      <c r="K448" t="s">
        <v>97</v>
      </c>
      <c r="L448" t="s">
        <v>36</v>
      </c>
      <c r="M448" t="s">
        <v>83</v>
      </c>
      <c r="N448" t="s">
        <v>2250</v>
      </c>
      <c r="O448" t="s">
        <v>67</v>
      </c>
      <c r="P448" t="s">
        <v>197</v>
      </c>
      <c r="Q448" t="s">
        <v>2251</v>
      </c>
      <c r="R448">
        <v>477.96</v>
      </c>
      <c r="S448">
        <v>2</v>
      </c>
      <c r="T448">
        <v>0</v>
      </c>
      <c r="U448">
        <v>177.72</v>
      </c>
    </row>
    <row r="449" spans="1:21" x14ac:dyDescent="0.35">
      <c r="A449" t="s">
        <v>2252</v>
      </c>
      <c r="B449" s="2">
        <v>43066</v>
      </c>
      <c r="C449" s="2" t="str">
        <f t="shared" si="12"/>
        <v>November</v>
      </c>
      <c r="D449" s="2" t="str">
        <f t="shared" si="13"/>
        <v>2017</v>
      </c>
      <c r="E449" s="2">
        <v>42928</v>
      </c>
      <c r="F449" t="s">
        <v>62</v>
      </c>
      <c r="G449" t="s">
        <v>2253</v>
      </c>
      <c r="H449" t="s">
        <v>2254</v>
      </c>
      <c r="I449" t="s">
        <v>55</v>
      </c>
      <c r="J449" t="s">
        <v>24</v>
      </c>
      <c r="K449" t="s">
        <v>25</v>
      </c>
      <c r="L449" t="s">
        <v>46</v>
      </c>
      <c r="M449" t="s">
        <v>27</v>
      </c>
      <c r="N449" t="s">
        <v>2255</v>
      </c>
      <c r="O449" t="s">
        <v>29</v>
      </c>
      <c r="P449" t="s">
        <v>155</v>
      </c>
      <c r="Q449" t="s">
        <v>2256</v>
      </c>
      <c r="R449">
        <v>1539.48</v>
      </c>
      <c r="S449">
        <v>10</v>
      </c>
      <c r="T449">
        <v>0.1</v>
      </c>
      <c r="U449">
        <v>254.33</v>
      </c>
    </row>
    <row r="450" spans="1:21" x14ac:dyDescent="0.35">
      <c r="A450" t="s">
        <v>2257</v>
      </c>
      <c r="B450" s="2">
        <v>42764</v>
      </c>
      <c r="C450" s="2" t="str">
        <f t="shared" si="12"/>
        <v>January</v>
      </c>
      <c r="D450" s="2" t="str">
        <f t="shared" si="13"/>
        <v>2017</v>
      </c>
      <c r="E450" s="2">
        <v>42857</v>
      </c>
      <c r="F450" t="s">
        <v>52</v>
      </c>
      <c r="G450" t="s">
        <v>2258</v>
      </c>
      <c r="H450" t="s">
        <v>2259</v>
      </c>
      <c r="I450" t="s">
        <v>35</v>
      </c>
      <c r="J450" t="s">
        <v>24</v>
      </c>
      <c r="K450" t="s">
        <v>212</v>
      </c>
      <c r="L450" t="s">
        <v>46</v>
      </c>
      <c r="M450" t="s">
        <v>57</v>
      </c>
      <c r="N450" t="s">
        <v>2260</v>
      </c>
      <c r="O450" t="s">
        <v>29</v>
      </c>
      <c r="P450" t="s">
        <v>155</v>
      </c>
      <c r="Q450" t="s">
        <v>1204</v>
      </c>
      <c r="R450">
        <v>619.9</v>
      </c>
      <c r="S450">
        <v>1</v>
      </c>
      <c r="T450">
        <v>0.1</v>
      </c>
      <c r="U450">
        <v>-28.73</v>
      </c>
    </row>
    <row r="451" spans="1:21" x14ac:dyDescent="0.35">
      <c r="A451" t="s">
        <v>2261</v>
      </c>
      <c r="B451" s="2">
        <v>42383</v>
      </c>
      <c r="C451" s="2" t="str">
        <f t="shared" ref="C451:C514" si="14">TEXT(B451,"mmmm")</f>
        <v>January</v>
      </c>
      <c r="D451" s="2" t="str">
        <f t="shared" ref="D451:D514" si="15">TEXT(B451,"yyyy")</f>
        <v>2016</v>
      </c>
      <c r="E451" s="2" t="s">
        <v>5933</v>
      </c>
      <c r="F451" t="s">
        <v>52</v>
      </c>
      <c r="G451" t="s">
        <v>2262</v>
      </c>
      <c r="H451" t="s">
        <v>2263</v>
      </c>
      <c r="I451" t="s">
        <v>35</v>
      </c>
      <c r="J451" t="s">
        <v>24</v>
      </c>
      <c r="K451" t="s">
        <v>36</v>
      </c>
      <c r="L451" t="s">
        <v>37</v>
      </c>
      <c r="M451" t="s">
        <v>27</v>
      </c>
      <c r="N451" t="s">
        <v>2264</v>
      </c>
      <c r="O451" t="s">
        <v>67</v>
      </c>
      <c r="P451" t="s">
        <v>117</v>
      </c>
      <c r="Q451" t="s">
        <v>2265</v>
      </c>
      <c r="R451">
        <v>1376.4</v>
      </c>
      <c r="S451">
        <v>6</v>
      </c>
      <c r="T451">
        <v>0.4</v>
      </c>
      <c r="U451">
        <v>239.3</v>
      </c>
    </row>
    <row r="452" spans="1:21" x14ac:dyDescent="0.35">
      <c r="A452" t="s">
        <v>2266</v>
      </c>
      <c r="B452" s="2">
        <v>43062</v>
      </c>
      <c r="C452" s="2" t="str">
        <f t="shared" si="14"/>
        <v>November</v>
      </c>
      <c r="D452" s="2" t="str">
        <f t="shared" si="15"/>
        <v>2017</v>
      </c>
      <c r="E452" s="2" t="s">
        <v>6293</v>
      </c>
      <c r="F452" t="s">
        <v>52</v>
      </c>
      <c r="G452" t="s">
        <v>2267</v>
      </c>
      <c r="H452" t="s">
        <v>2268</v>
      </c>
      <c r="I452" t="s">
        <v>55</v>
      </c>
      <c r="J452" t="s">
        <v>24</v>
      </c>
      <c r="K452" t="s">
        <v>81</v>
      </c>
      <c r="L452" t="s">
        <v>26</v>
      </c>
      <c r="M452" t="s">
        <v>74</v>
      </c>
      <c r="N452" t="s">
        <v>2269</v>
      </c>
      <c r="O452" t="s">
        <v>48</v>
      </c>
      <c r="P452" t="s">
        <v>76</v>
      </c>
      <c r="Q452" t="s">
        <v>2270</v>
      </c>
      <c r="R452">
        <v>323.72000000000003</v>
      </c>
      <c r="S452">
        <v>7</v>
      </c>
      <c r="T452">
        <v>0</v>
      </c>
      <c r="U452">
        <v>-30.02</v>
      </c>
    </row>
    <row r="453" spans="1:21" x14ac:dyDescent="0.35">
      <c r="A453" t="s">
        <v>2271</v>
      </c>
      <c r="B453" s="2">
        <v>42575</v>
      </c>
      <c r="C453" s="2" t="str">
        <f t="shared" si="14"/>
        <v>July</v>
      </c>
      <c r="D453" s="2" t="str">
        <f t="shared" si="15"/>
        <v>2016</v>
      </c>
      <c r="E453" s="2" t="s">
        <v>6240</v>
      </c>
      <c r="F453" t="s">
        <v>20</v>
      </c>
      <c r="G453" t="s">
        <v>2272</v>
      </c>
      <c r="H453" t="s">
        <v>2273</v>
      </c>
      <c r="I453" t="s">
        <v>55</v>
      </c>
      <c r="J453" t="s">
        <v>24</v>
      </c>
      <c r="K453" t="s">
        <v>97</v>
      </c>
      <c r="L453" t="s">
        <v>56</v>
      </c>
      <c r="M453" t="s">
        <v>83</v>
      </c>
      <c r="N453" t="s">
        <v>2274</v>
      </c>
      <c r="O453" t="s">
        <v>48</v>
      </c>
      <c r="P453" t="s">
        <v>59</v>
      </c>
      <c r="Q453" t="s">
        <v>2275</v>
      </c>
      <c r="R453">
        <v>1367.05</v>
      </c>
      <c r="S453">
        <v>8</v>
      </c>
      <c r="T453">
        <v>0.4</v>
      </c>
      <c r="U453">
        <v>429.57</v>
      </c>
    </row>
    <row r="454" spans="1:21" x14ac:dyDescent="0.35">
      <c r="A454" t="s">
        <v>2276</v>
      </c>
      <c r="B454" s="2">
        <v>43666</v>
      </c>
      <c r="C454" s="2" t="str">
        <f t="shared" si="14"/>
        <v>July</v>
      </c>
      <c r="D454" s="2" t="str">
        <f t="shared" si="15"/>
        <v>2019</v>
      </c>
      <c r="E454" s="2" t="s">
        <v>6294</v>
      </c>
      <c r="F454" t="s">
        <v>20</v>
      </c>
      <c r="G454" t="s">
        <v>2277</v>
      </c>
      <c r="H454" t="s">
        <v>2278</v>
      </c>
      <c r="I454" t="s">
        <v>35</v>
      </c>
      <c r="J454" t="s">
        <v>24</v>
      </c>
      <c r="K454" t="s">
        <v>89</v>
      </c>
      <c r="L454" t="s">
        <v>82</v>
      </c>
      <c r="M454" t="s">
        <v>74</v>
      </c>
      <c r="N454" t="s">
        <v>2279</v>
      </c>
      <c r="O454" t="s">
        <v>29</v>
      </c>
      <c r="P454" t="s">
        <v>155</v>
      </c>
      <c r="Q454" t="s">
        <v>2280</v>
      </c>
      <c r="R454">
        <v>1264.23</v>
      </c>
      <c r="S454">
        <v>1</v>
      </c>
      <c r="T454">
        <v>0</v>
      </c>
      <c r="U454">
        <v>432.86</v>
      </c>
    </row>
    <row r="455" spans="1:21" x14ac:dyDescent="0.35">
      <c r="A455" t="s">
        <v>2281</v>
      </c>
      <c r="B455" s="2">
        <v>42712</v>
      </c>
      <c r="C455" s="2" t="str">
        <f t="shared" si="14"/>
        <v>December</v>
      </c>
      <c r="D455" s="2" t="str">
        <f t="shared" si="15"/>
        <v>2016</v>
      </c>
      <c r="E455" s="2">
        <v>42686</v>
      </c>
      <c r="F455" t="s">
        <v>52</v>
      </c>
      <c r="G455" t="s">
        <v>2282</v>
      </c>
      <c r="H455" t="s">
        <v>2283</v>
      </c>
      <c r="I455" t="s">
        <v>55</v>
      </c>
      <c r="J455" t="s">
        <v>24</v>
      </c>
      <c r="K455" t="s">
        <v>36</v>
      </c>
      <c r="L455" t="s">
        <v>46</v>
      </c>
      <c r="M455" t="s">
        <v>74</v>
      </c>
      <c r="N455" t="s">
        <v>2284</v>
      </c>
      <c r="O455" t="s">
        <v>48</v>
      </c>
      <c r="P455" t="s">
        <v>76</v>
      </c>
      <c r="Q455" t="s">
        <v>2285</v>
      </c>
      <c r="R455">
        <v>641.51</v>
      </c>
      <c r="S455">
        <v>10</v>
      </c>
      <c r="T455">
        <v>0</v>
      </c>
      <c r="U455">
        <v>317.8</v>
      </c>
    </row>
    <row r="456" spans="1:21" x14ac:dyDescent="0.35">
      <c r="A456" t="s">
        <v>2286</v>
      </c>
      <c r="B456" s="2">
        <v>42878</v>
      </c>
      <c r="C456" s="2" t="str">
        <f t="shared" si="14"/>
        <v>May</v>
      </c>
      <c r="D456" s="2" t="str">
        <f t="shared" si="15"/>
        <v>2017</v>
      </c>
      <c r="E456" s="2">
        <v>42772</v>
      </c>
      <c r="F456" t="s">
        <v>20</v>
      </c>
      <c r="G456" t="s">
        <v>2287</v>
      </c>
      <c r="H456" t="s">
        <v>2288</v>
      </c>
      <c r="I456" t="s">
        <v>35</v>
      </c>
      <c r="J456" t="s">
        <v>24</v>
      </c>
      <c r="K456" t="s">
        <v>81</v>
      </c>
      <c r="L456" t="s">
        <v>170</v>
      </c>
      <c r="M456" t="s">
        <v>74</v>
      </c>
      <c r="N456" t="s">
        <v>2289</v>
      </c>
      <c r="O456" t="s">
        <v>29</v>
      </c>
      <c r="P456" t="s">
        <v>110</v>
      </c>
      <c r="Q456" t="s">
        <v>1662</v>
      </c>
      <c r="R456">
        <v>1554.67</v>
      </c>
      <c r="S456">
        <v>4</v>
      </c>
      <c r="T456">
        <v>0.2</v>
      </c>
      <c r="U456">
        <v>-115.34</v>
      </c>
    </row>
    <row r="457" spans="1:21" x14ac:dyDescent="0.35">
      <c r="A457" t="s">
        <v>2290</v>
      </c>
      <c r="B457" s="2">
        <v>42738</v>
      </c>
      <c r="C457" s="2" t="str">
        <f t="shared" si="14"/>
        <v>January</v>
      </c>
      <c r="D457" s="2" t="str">
        <f t="shared" si="15"/>
        <v>2017</v>
      </c>
      <c r="E457" s="2">
        <v>43009</v>
      </c>
      <c r="F457" t="s">
        <v>62</v>
      </c>
      <c r="G457" t="s">
        <v>2291</v>
      </c>
      <c r="H457" t="s">
        <v>2292</v>
      </c>
      <c r="I457" t="s">
        <v>23</v>
      </c>
      <c r="J457" t="s">
        <v>24</v>
      </c>
      <c r="K457" t="s">
        <v>103</v>
      </c>
      <c r="L457" t="s">
        <v>82</v>
      </c>
      <c r="M457" t="s">
        <v>27</v>
      </c>
      <c r="N457" t="s">
        <v>2293</v>
      </c>
      <c r="O457" t="s">
        <v>29</v>
      </c>
      <c r="P457" t="s">
        <v>110</v>
      </c>
      <c r="Q457" t="s">
        <v>2294</v>
      </c>
      <c r="R457">
        <v>88</v>
      </c>
      <c r="S457">
        <v>10</v>
      </c>
      <c r="T457">
        <v>0</v>
      </c>
      <c r="U457">
        <v>-3.89</v>
      </c>
    </row>
    <row r="458" spans="1:21" x14ac:dyDescent="0.35">
      <c r="A458" t="s">
        <v>2295</v>
      </c>
      <c r="B458" s="2">
        <v>42495</v>
      </c>
      <c r="C458" s="2" t="str">
        <f t="shared" si="14"/>
        <v>May</v>
      </c>
      <c r="D458" s="2" t="str">
        <f t="shared" si="15"/>
        <v>2016</v>
      </c>
      <c r="E458" s="2">
        <v>42587</v>
      </c>
      <c r="F458" t="s">
        <v>62</v>
      </c>
      <c r="G458" t="s">
        <v>2296</v>
      </c>
      <c r="H458" t="s">
        <v>2297</v>
      </c>
      <c r="I458" t="s">
        <v>23</v>
      </c>
      <c r="J458" t="s">
        <v>24</v>
      </c>
      <c r="K458" t="s">
        <v>97</v>
      </c>
      <c r="L458" t="s">
        <v>56</v>
      </c>
      <c r="M458" t="s">
        <v>57</v>
      </c>
      <c r="N458" t="s">
        <v>2298</v>
      </c>
      <c r="O458" t="s">
        <v>29</v>
      </c>
      <c r="P458" t="s">
        <v>30</v>
      </c>
      <c r="Q458" t="s">
        <v>470</v>
      </c>
      <c r="R458">
        <v>345.49</v>
      </c>
      <c r="S458">
        <v>8</v>
      </c>
      <c r="T458">
        <v>0.1</v>
      </c>
      <c r="U458">
        <v>-55.64</v>
      </c>
    </row>
    <row r="459" spans="1:21" x14ac:dyDescent="0.35">
      <c r="A459" t="s">
        <v>2299</v>
      </c>
      <c r="B459" s="2">
        <v>43600</v>
      </c>
      <c r="C459" s="2" t="str">
        <f t="shared" si="14"/>
        <v>May</v>
      </c>
      <c r="D459" s="2" t="str">
        <f t="shared" si="15"/>
        <v>2019</v>
      </c>
      <c r="E459" s="2" t="s">
        <v>6295</v>
      </c>
      <c r="F459" t="s">
        <v>20</v>
      </c>
      <c r="G459" t="s">
        <v>2300</v>
      </c>
      <c r="H459" t="s">
        <v>2301</v>
      </c>
      <c r="I459" t="s">
        <v>55</v>
      </c>
      <c r="J459" t="s">
        <v>24</v>
      </c>
      <c r="K459" t="s">
        <v>81</v>
      </c>
      <c r="L459" t="s">
        <v>65</v>
      </c>
      <c r="M459" t="s">
        <v>74</v>
      </c>
      <c r="N459" t="s">
        <v>2302</v>
      </c>
      <c r="O459" t="s">
        <v>67</v>
      </c>
      <c r="P459" t="s">
        <v>350</v>
      </c>
      <c r="Q459" t="s">
        <v>2303</v>
      </c>
      <c r="R459">
        <v>748.64</v>
      </c>
      <c r="S459">
        <v>3</v>
      </c>
      <c r="T459">
        <v>0.4</v>
      </c>
      <c r="U459">
        <v>-198.42</v>
      </c>
    </row>
    <row r="460" spans="1:21" x14ac:dyDescent="0.35">
      <c r="A460" t="s">
        <v>2304</v>
      </c>
      <c r="B460" s="2">
        <v>43811</v>
      </c>
      <c r="C460" s="2" t="str">
        <f t="shared" si="14"/>
        <v>December</v>
      </c>
      <c r="D460" s="2" t="str">
        <f t="shared" si="15"/>
        <v>2019</v>
      </c>
      <c r="E460" s="2" t="s">
        <v>6073</v>
      </c>
      <c r="F460" t="s">
        <v>52</v>
      </c>
      <c r="G460" t="s">
        <v>2305</v>
      </c>
      <c r="H460" t="s">
        <v>2306</v>
      </c>
      <c r="I460" t="s">
        <v>23</v>
      </c>
      <c r="J460" t="s">
        <v>24</v>
      </c>
      <c r="K460" t="s">
        <v>73</v>
      </c>
      <c r="L460" t="s">
        <v>170</v>
      </c>
      <c r="M460" t="s">
        <v>27</v>
      </c>
      <c r="N460" t="s">
        <v>2307</v>
      </c>
      <c r="O460" t="s">
        <v>67</v>
      </c>
      <c r="P460" t="s">
        <v>350</v>
      </c>
      <c r="Q460" t="s">
        <v>2308</v>
      </c>
      <c r="R460">
        <v>201.8</v>
      </c>
      <c r="S460">
        <v>6</v>
      </c>
      <c r="T460">
        <v>0.4</v>
      </c>
      <c r="U460">
        <v>-2.62</v>
      </c>
    </row>
    <row r="461" spans="1:21" x14ac:dyDescent="0.35">
      <c r="A461" t="s">
        <v>2309</v>
      </c>
      <c r="B461" s="2">
        <v>42387</v>
      </c>
      <c r="C461" s="2" t="str">
        <f t="shared" si="14"/>
        <v>January</v>
      </c>
      <c r="D461" s="2" t="str">
        <f t="shared" si="15"/>
        <v>2016</v>
      </c>
      <c r="E461" s="2" t="s">
        <v>5933</v>
      </c>
      <c r="F461" t="s">
        <v>62</v>
      </c>
      <c r="G461" t="s">
        <v>2310</v>
      </c>
      <c r="H461" t="s">
        <v>2311</v>
      </c>
      <c r="I461" t="s">
        <v>55</v>
      </c>
      <c r="J461" t="s">
        <v>24</v>
      </c>
      <c r="K461" t="s">
        <v>25</v>
      </c>
      <c r="L461" t="s">
        <v>170</v>
      </c>
      <c r="M461" t="s">
        <v>83</v>
      </c>
      <c r="N461" t="s">
        <v>2312</v>
      </c>
      <c r="O461" t="s">
        <v>29</v>
      </c>
      <c r="P461" t="s">
        <v>155</v>
      </c>
      <c r="Q461" t="s">
        <v>2313</v>
      </c>
      <c r="R461">
        <v>1775.82</v>
      </c>
      <c r="S461">
        <v>6</v>
      </c>
      <c r="T461">
        <v>0</v>
      </c>
      <c r="U461">
        <v>754.15</v>
      </c>
    </row>
    <row r="462" spans="1:21" x14ac:dyDescent="0.35">
      <c r="A462" t="s">
        <v>2314</v>
      </c>
      <c r="B462" s="2">
        <v>42403</v>
      </c>
      <c r="C462" s="2" t="str">
        <f t="shared" si="14"/>
        <v>February</v>
      </c>
      <c r="D462" s="2" t="str">
        <f t="shared" si="15"/>
        <v>2016</v>
      </c>
      <c r="E462" s="2">
        <v>42462</v>
      </c>
      <c r="F462" t="s">
        <v>20</v>
      </c>
      <c r="G462" t="s">
        <v>2315</v>
      </c>
      <c r="H462" t="s">
        <v>2316</v>
      </c>
      <c r="I462" t="s">
        <v>55</v>
      </c>
      <c r="J462" t="s">
        <v>24</v>
      </c>
      <c r="K462" t="s">
        <v>25</v>
      </c>
      <c r="L462" t="s">
        <v>56</v>
      </c>
      <c r="M462" t="s">
        <v>57</v>
      </c>
      <c r="N462" t="s">
        <v>2317</v>
      </c>
      <c r="O462" t="s">
        <v>48</v>
      </c>
      <c r="P462" t="s">
        <v>128</v>
      </c>
      <c r="Q462" t="s">
        <v>2318</v>
      </c>
      <c r="R462">
        <v>678.66</v>
      </c>
      <c r="S462">
        <v>6</v>
      </c>
      <c r="T462">
        <v>0.3</v>
      </c>
      <c r="U462">
        <v>243.02</v>
      </c>
    </row>
    <row r="463" spans="1:21" x14ac:dyDescent="0.35">
      <c r="A463" t="s">
        <v>2319</v>
      </c>
      <c r="B463" s="2">
        <v>43678</v>
      </c>
      <c r="C463" s="2" t="str">
        <f t="shared" si="14"/>
        <v>August</v>
      </c>
      <c r="D463" s="2" t="str">
        <f t="shared" si="15"/>
        <v>2019</v>
      </c>
      <c r="E463" s="2">
        <v>43685</v>
      </c>
      <c r="F463" t="s">
        <v>20</v>
      </c>
      <c r="G463" t="s">
        <v>2320</v>
      </c>
      <c r="H463" t="s">
        <v>2321</v>
      </c>
      <c r="I463" t="s">
        <v>55</v>
      </c>
      <c r="J463" t="s">
        <v>24</v>
      </c>
      <c r="K463" t="s">
        <v>45</v>
      </c>
      <c r="L463" t="s">
        <v>46</v>
      </c>
      <c r="M463" t="s">
        <v>74</v>
      </c>
      <c r="N463" t="s">
        <v>2322</v>
      </c>
      <c r="O463" t="s">
        <v>48</v>
      </c>
      <c r="P463" t="s">
        <v>49</v>
      </c>
      <c r="Q463" t="s">
        <v>2323</v>
      </c>
      <c r="R463">
        <v>1388.37</v>
      </c>
      <c r="S463">
        <v>6</v>
      </c>
      <c r="T463">
        <v>0.2</v>
      </c>
      <c r="U463">
        <v>384.45</v>
      </c>
    </row>
    <row r="464" spans="1:21" x14ac:dyDescent="0.35">
      <c r="A464" t="s">
        <v>2324</v>
      </c>
      <c r="B464" s="2">
        <v>42655</v>
      </c>
      <c r="C464" s="2" t="str">
        <f t="shared" si="14"/>
        <v>October</v>
      </c>
      <c r="D464" s="2" t="str">
        <f t="shared" si="15"/>
        <v>2016</v>
      </c>
      <c r="E464" s="2" t="s">
        <v>6099</v>
      </c>
      <c r="F464" t="s">
        <v>62</v>
      </c>
      <c r="G464" t="s">
        <v>2325</v>
      </c>
      <c r="H464" t="s">
        <v>2326</v>
      </c>
      <c r="I464" t="s">
        <v>23</v>
      </c>
      <c r="J464" t="s">
        <v>24</v>
      </c>
      <c r="K464" t="s">
        <v>89</v>
      </c>
      <c r="L464" t="s">
        <v>65</v>
      </c>
      <c r="M464" t="s">
        <v>57</v>
      </c>
      <c r="N464" t="s">
        <v>2327</v>
      </c>
      <c r="O464" t="s">
        <v>29</v>
      </c>
      <c r="P464" t="s">
        <v>110</v>
      </c>
      <c r="Q464" t="s">
        <v>2328</v>
      </c>
      <c r="R464">
        <v>944.05</v>
      </c>
      <c r="S464">
        <v>2</v>
      </c>
      <c r="T464">
        <v>0.3</v>
      </c>
      <c r="U464">
        <v>-172.52</v>
      </c>
    </row>
    <row r="465" spans="1:21" x14ac:dyDescent="0.35">
      <c r="A465" t="s">
        <v>2329</v>
      </c>
      <c r="B465" s="2">
        <v>42552</v>
      </c>
      <c r="C465" s="2" t="str">
        <f t="shared" si="14"/>
        <v>July</v>
      </c>
      <c r="D465" s="2" t="str">
        <f t="shared" si="15"/>
        <v>2016</v>
      </c>
      <c r="E465" s="2">
        <v>42620</v>
      </c>
      <c r="F465" t="s">
        <v>62</v>
      </c>
      <c r="G465" t="s">
        <v>2330</v>
      </c>
      <c r="H465" t="s">
        <v>2331</v>
      </c>
      <c r="I465" t="s">
        <v>35</v>
      </c>
      <c r="J465" t="s">
        <v>24</v>
      </c>
      <c r="K465" t="s">
        <v>133</v>
      </c>
      <c r="L465" t="s">
        <v>46</v>
      </c>
      <c r="M465" t="s">
        <v>83</v>
      </c>
      <c r="N465" t="s">
        <v>2332</v>
      </c>
      <c r="O465" t="s">
        <v>29</v>
      </c>
      <c r="P465" t="s">
        <v>39</v>
      </c>
      <c r="Q465" t="s">
        <v>2333</v>
      </c>
      <c r="R465">
        <v>1347.76</v>
      </c>
      <c r="S465">
        <v>5</v>
      </c>
      <c r="T465">
        <v>0.1</v>
      </c>
      <c r="U465">
        <v>219.51</v>
      </c>
    </row>
    <row r="466" spans="1:21" x14ac:dyDescent="0.35">
      <c r="A466" t="s">
        <v>2334</v>
      </c>
      <c r="B466" s="2">
        <v>43290</v>
      </c>
      <c r="C466" s="2" t="str">
        <f t="shared" si="14"/>
        <v>July</v>
      </c>
      <c r="D466" s="2" t="str">
        <f t="shared" si="15"/>
        <v>2018</v>
      </c>
      <c r="E466" s="2" t="s">
        <v>6180</v>
      </c>
      <c r="F466" t="s">
        <v>20</v>
      </c>
      <c r="G466" t="s">
        <v>2335</v>
      </c>
      <c r="H466" t="s">
        <v>2336</v>
      </c>
      <c r="I466" t="s">
        <v>35</v>
      </c>
      <c r="J466" t="s">
        <v>24</v>
      </c>
      <c r="K466" t="s">
        <v>103</v>
      </c>
      <c r="L466" t="s">
        <v>56</v>
      </c>
      <c r="M466" t="s">
        <v>57</v>
      </c>
      <c r="N466" t="s">
        <v>2337</v>
      </c>
      <c r="O466" t="s">
        <v>29</v>
      </c>
      <c r="P466" t="s">
        <v>155</v>
      </c>
      <c r="Q466" t="s">
        <v>2338</v>
      </c>
      <c r="R466">
        <v>188.37</v>
      </c>
      <c r="S466">
        <v>2</v>
      </c>
      <c r="T466">
        <v>0.3</v>
      </c>
      <c r="U466">
        <v>47.38</v>
      </c>
    </row>
    <row r="467" spans="1:21" x14ac:dyDescent="0.35">
      <c r="A467" t="s">
        <v>2339</v>
      </c>
      <c r="B467" s="2">
        <v>42755</v>
      </c>
      <c r="C467" s="2" t="str">
        <f t="shared" si="14"/>
        <v>January</v>
      </c>
      <c r="D467" s="2" t="str">
        <f t="shared" si="15"/>
        <v>2017</v>
      </c>
      <c r="E467" s="2" t="s">
        <v>5982</v>
      </c>
      <c r="F467" t="s">
        <v>42</v>
      </c>
      <c r="G467" t="s">
        <v>2340</v>
      </c>
      <c r="H467" t="s">
        <v>2341</v>
      </c>
      <c r="I467" t="s">
        <v>35</v>
      </c>
      <c r="J467" t="s">
        <v>24</v>
      </c>
      <c r="K467" t="s">
        <v>45</v>
      </c>
      <c r="L467" t="s">
        <v>90</v>
      </c>
      <c r="M467" t="s">
        <v>83</v>
      </c>
      <c r="N467" t="s">
        <v>2342</v>
      </c>
      <c r="O467" t="s">
        <v>29</v>
      </c>
      <c r="P467" t="s">
        <v>39</v>
      </c>
      <c r="Q467" t="s">
        <v>2343</v>
      </c>
      <c r="R467">
        <v>918.01</v>
      </c>
      <c r="S467">
        <v>9</v>
      </c>
      <c r="T467">
        <v>0</v>
      </c>
      <c r="U467">
        <v>-206.77</v>
      </c>
    </row>
    <row r="468" spans="1:21" x14ac:dyDescent="0.35">
      <c r="A468" t="s">
        <v>2344</v>
      </c>
      <c r="B468" s="2">
        <v>42677</v>
      </c>
      <c r="C468" s="2" t="str">
        <f t="shared" si="14"/>
        <v>November</v>
      </c>
      <c r="D468" s="2" t="str">
        <f t="shared" si="15"/>
        <v>2016</v>
      </c>
      <c r="E468" s="2">
        <v>42532</v>
      </c>
      <c r="F468" t="s">
        <v>52</v>
      </c>
      <c r="G468" t="s">
        <v>2345</v>
      </c>
      <c r="H468" t="s">
        <v>2346</v>
      </c>
      <c r="I468" t="s">
        <v>35</v>
      </c>
      <c r="J468" t="s">
        <v>24</v>
      </c>
      <c r="K468" t="s">
        <v>45</v>
      </c>
      <c r="L468" t="s">
        <v>36</v>
      </c>
      <c r="M468" t="s">
        <v>57</v>
      </c>
      <c r="N468" t="s">
        <v>2347</v>
      </c>
      <c r="O468" t="s">
        <v>67</v>
      </c>
      <c r="P468" t="s">
        <v>92</v>
      </c>
      <c r="Q468" t="s">
        <v>2348</v>
      </c>
      <c r="R468">
        <v>1553.84</v>
      </c>
      <c r="S468">
        <v>2</v>
      </c>
      <c r="T468">
        <v>0</v>
      </c>
      <c r="U468">
        <v>53.31</v>
      </c>
    </row>
    <row r="469" spans="1:21" x14ac:dyDescent="0.35">
      <c r="A469" t="s">
        <v>2349</v>
      </c>
      <c r="B469" s="2">
        <v>42558</v>
      </c>
      <c r="C469" s="2" t="str">
        <f t="shared" si="14"/>
        <v>July</v>
      </c>
      <c r="D469" s="2" t="str">
        <f t="shared" si="15"/>
        <v>2016</v>
      </c>
      <c r="E469" s="2">
        <v>42620</v>
      </c>
      <c r="F469" t="s">
        <v>52</v>
      </c>
      <c r="G469" t="s">
        <v>2350</v>
      </c>
      <c r="H469" t="s">
        <v>2351</v>
      </c>
      <c r="I469" t="s">
        <v>35</v>
      </c>
      <c r="J469" t="s">
        <v>24</v>
      </c>
      <c r="K469" t="s">
        <v>97</v>
      </c>
      <c r="L469" t="s">
        <v>82</v>
      </c>
      <c r="M469" t="s">
        <v>27</v>
      </c>
      <c r="N469" t="s">
        <v>2352</v>
      </c>
      <c r="O469" t="s">
        <v>48</v>
      </c>
      <c r="P469" t="s">
        <v>49</v>
      </c>
      <c r="Q469" t="s">
        <v>2353</v>
      </c>
      <c r="R469">
        <v>1426.86</v>
      </c>
      <c r="S469">
        <v>2</v>
      </c>
      <c r="T469">
        <v>0</v>
      </c>
      <c r="U469">
        <v>161.15</v>
      </c>
    </row>
    <row r="470" spans="1:21" x14ac:dyDescent="0.35">
      <c r="A470" t="s">
        <v>2354</v>
      </c>
      <c r="B470" s="2">
        <v>42787</v>
      </c>
      <c r="C470" s="2" t="str">
        <f t="shared" si="14"/>
        <v>February</v>
      </c>
      <c r="D470" s="2" t="str">
        <f t="shared" si="15"/>
        <v>2017</v>
      </c>
      <c r="E470" s="2">
        <v>42769</v>
      </c>
      <c r="F470" t="s">
        <v>62</v>
      </c>
      <c r="G470" t="s">
        <v>2355</v>
      </c>
      <c r="H470" t="s">
        <v>2356</v>
      </c>
      <c r="I470" t="s">
        <v>55</v>
      </c>
      <c r="J470" t="s">
        <v>24</v>
      </c>
      <c r="K470" t="s">
        <v>212</v>
      </c>
      <c r="L470" t="s">
        <v>46</v>
      </c>
      <c r="M470" t="s">
        <v>57</v>
      </c>
      <c r="N470" t="s">
        <v>2357</v>
      </c>
      <c r="O470" t="s">
        <v>67</v>
      </c>
      <c r="P470" t="s">
        <v>197</v>
      </c>
      <c r="Q470" t="s">
        <v>2358</v>
      </c>
      <c r="R470">
        <v>1873.8</v>
      </c>
      <c r="S470">
        <v>10</v>
      </c>
      <c r="T470">
        <v>0</v>
      </c>
      <c r="U470">
        <v>449.33</v>
      </c>
    </row>
    <row r="471" spans="1:21" x14ac:dyDescent="0.35">
      <c r="A471" t="s">
        <v>2359</v>
      </c>
      <c r="B471" s="2">
        <v>42891</v>
      </c>
      <c r="C471" s="2" t="str">
        <f t="shared" si="14"/>
        <v>June</v>
      </c>
      <c r="D471" s="2" t="str">
        <f t="shared" si="15"/>
        <v>2017</v>
      </c>
      <c r="E471" s="2">
        <v>43014</v>
      </c>
      <c r="F471" t="s">
        <v>42</v>
      </c>
      <c r="G471" t="s">
        <v>2360</v>
      </c>
      <c r="H471" t="s">
        <v>2361</v>
      </c>
      <c r="I471" t="s">
        <v>55</v>
      </c>
      <c r="J471" t="s">
        <v>24</v>
      </c>
      <c r="K471" t="s">
        <v>81</v>
      </c>
      <c r="L471" t="s">
        <v>46</v>
      </c>
      <c r="M471" t="s">
        <v>83</v>
      </c>
      <c r="N471" t="s">
        <v>2362</v>
      </c>
      <c r="O471" t="s">
        <v>29</v>
      </c>
      <c r="P471" t="s">
        <v>39</v>
      </c>
      <c r="Q471" t="s">
        <v>2363</v>
      </c>
      <c r="R471">
        <v>1144.51</v>
      </c>
      <c r="S471">
        <v>7</v>
      </c>
      <c r="T471">
        <v>0.4</v>
      </c>
      <c r="U471">
        <v>-137.99</v>
      </c>
    </row>
    <row r="472" spans="1:21" x14ac:dyDescent="0.35">
      <c r="A472" t="s">
        <v>2364</v>
      </c>
      <c r="B472" s="2">
        <v>42623</v>
      </c>
      <c r="C472" s="2" t="str">
        <f t="shared" si="14"/>
        <v>September</v>
      </c>
      <c r="D472" s="2" t="str">
        <f t="shared" si="15"/>
        <v>2016</v>
      </c>
      <c r="E472" s="2" t="s">
        <v>6296</v>
      </c>
      <c r="F472" t="s">
        <v>42</v>
      </c>
      <c r="G472" t="s">
        <v>2365</v>
      </c>
      <c r="H472" t="s">
        <v>2366</v>
      </c>
      <c r="I472" t="s">
        <v>55</v>
      </c>
      <c r="J472" t="s">
        <v>24</v>
      </c>
      <c r="K472" t="s">
        <v>73</v>
      </c>
      <c r="L472" t="s">
        <v>56</v>
      </c>
      <c r="M472" t="s">
        <v>57</v>
      </c>
      <c r="N472" t="s">
        <v>2367</v>
      </c>
      <c r="O472" t="s">
        <v>29</v>
      </c>
      <c r="P472" t="s">
        <v>155</v>
      </c>
      <c r="Q472" t="s">
        <v>2368</v>
      </c>
      <c r="R472">
        <v>1522.31</v>
      </c>
      <c r="S472">
        <v>1</v>
      </c>
      <c r="T472">
        <v>0.3</v>
      </c>
      <c r="U472">
        <v>461.17</v>
      </c>
    </row>
    <row r="473" spans="1:21" x14ac:dyDescent="0.35">
      <c r="A473" t="s">
        <v>2369</v>
      </c>
      <c r="B473" s="2">
        <v>43277</v>
      </c>
      <c r="C473" s="2" t="str">
        <f t="shared" si="14"/>
        <v>June</v>
      </c>
      <c r="D473" s="2" t="str">
        <f t="shared" si="15"/>
        <v>2018</v>
      </c>
      <c r="E473" s="2">
        <v>43138</v>
      </c>
      <c r="F473" t="s">
        <v>52</v>
      </c>
      <c r="G473" t="s">
        <v>2370</v>
      </c>
      <c r="H473" t="s">
        <v>2371</v>
      </c>
      <c r="I473" t="s">
        <v>23</v>
      </c>
      <c r="J473" t="s">
        <v>24</v>
      </c>
      <c r="K473" t="s">
        <v>25</v>
      </c>
      <c r="L473" t="s">
        <v>56</v>
      </c>
      <c r="M473" t="s">
        <v>74</v>
      </c>
      <c r="N473" t="s">
        <v>2372</v>
      </c>
      <c r="O473" t="s">
        <v>29</v>
      </c>
      <c r="P473" t="s">
        <v>39</v>
      </c>
      <c r="Q473" t="s">
        <v>717</v>
      </c>
      <c r="R473">
        <v>1207.31</v>
      </c>
      <c r="S473">
        <v>9</v>
      </c>
      <c r="T473">
        <v>0</v>
      </c>
      <c r="U473">
        <v>-347.82</v>
      </c>
    </row>
    <row r="474" spans="1:21" x14ac:dyDescent="0.35">
      <c r="A474" t="s">
        <v>2373</v>
      </c>
      <c r="B474" s="2">
        <v>43160</v>
      </c>
      <c r="C474" s="2" t="str">
        <f t="shared" si="14"/>
        <v>March</v>
      </c>
      <c r="D474" s="2" t="str">
        <f t="shared" si="15"/>
        <v>2018</v>
      </c>
      <c r="E474" s="2">
        <v>43284</v>
      </c>
      <c r="F474" t="s">
        <v>52</v>
      </c>
      <c r="G474" t="s">
        <v>2374</v>
      </c>
      <c r="H474" t="s">
        <v>1567</v>
      </c>
      <c r="I474" t="s">
        <v>35</v>
      </c>
      <c r="J474" t="s">
        <v>24</v>
      </c>
      <c r="K474" t="s">
        <v>89</v>
      </c>
      <c r="L474" t="s">
        <v>36</v>
      </c>
      <c r="M474" t="s">
        <v>57</v>
      </c>
      <c r="N474" t="s">
        <v>2375</v>
      </c>
      <c r="O474" t="s">
        <v>67</v>
      </c>
      <c r="P474" t="s">
        <v>68</v>
      </c>
      <c r="Q474" t="s">
        <v>2376</v>
      </c>
      <c r="R474">
        <v>1221.82</v>
      </c>
      <c r="S474">
        <v>9</v>
      </c>
      <c r="T474">
        <v>0.2</v>
      </c>
      <c r="U474">
        <v>375.37</v>
      </c>
    </row>
    <row r="475" spans="1:21" x14ac:dyDescent="0.35">
      <c r="A475" t="s">
        <v>2377</v>
      </c>
      <c r="B475" s="2">
        <v>43392</v>
      </c>
      <c r="C475" s="2" t="str">
        <f t="shared" si="14"/>
        <v>October</v>
      </c>
      <c r="D475" s="2" t="str">
        <f t="shared" si="15"/>
        <v>2018</v>
      </c>
      <c r="E475" s="2" t="s">
        <v>5967</v>
      </c>
      <c r="F475" t="s">
        <v>20</v>
      </c>
      <c r="G475" t="s">
        <v>2378</v>
      </c>
      <c r="H475" t="s">
        <v>2379</v>
      </c>
      <c r="I475" t="s">
        <v>55</v>
      </c>
      <c r="J475" t="s">
        <v>24</v>
      </c>
      <c r="K475" t="s">
        <v>133</v>
      </c>
      <c r="L475" t="s">
        <v>90</v>
      </c>
      <c r="M475" t="s">
        <v>27</v>
      </c>
      <c r="N475" t="s">
        <v>2380</v>
      </c>
      <c r="O475" t="s">
        <v>67</v>
      </c>
      <c r="P475" t="s">
        <v>229</v>
      </c>
      <c r="Q475" t="s">
        <v>2381</v>
      </c>
      <c r="R475">
        <v>1479.07</v>
      </c>
      <c r="S475">
        <v>9</v>
      </c>
      <c r="T475">
        <v>0.2</v>
      </c>
      <c r="U475">
        <v>-423.98</v>
      </c>
    </row>
    <row r="476" spans="1:21" x14ac:dyDescent="0.35">
      <c r="A476" t="s">
        <v>2382</v>
      </c>
      <c r="B476" s="2">
        <v>43682</v>
      </c>
      <c r="C476" s="2" t="str">
        <f t="shared" si="14"/>
        <v>August</v>
      </c>
      <c r="D476" s="2" t="str">
        <f t="shared" si="15"/>
        <v>2019</v>
      </c>
      <c r="E476" s="2">
        <v>43807</v>
      </c>
      <c r="F476" t="s">
        <v>52</v>
      </c>
      <c r="G476" t="s">
        <v>2383</v>
      </c>
      <c r="H476" t="s">
        <v>2384</v>
      </c>
      <c r="I476" t="s">
        <v>55</v>
      </c>
      <c r="J476" t="s">
        <v>24</v>
      </c>
      <c r="K476" t="s">
        <v>97</v>
      </c>
      <c r="L476" t="s">
        <v>26</v>
      </c>
      <c r="M476" t="s">
        <v>27</v>
      </c>
      <c r="N476" t="s">
        <v>2385</v>
      </c>
      <c r="O476" t="s">
        <v>67</v>
      </c>
      <c r="P476" t="s">
        <v>350</v>
      </c>
      <c r="Q476" t="s">
        <v>2386</v>
      </c>
      <c r="R476">
        <v>329.73</v>
      </c>
      <c r="S476">
        <v>7</v>
      </c>
      <c r="T476">
        <v>0</v>
      </c>
      <c r="U476">
        <v>62.76</v>
      </c>
    </row>
    <row r="477" spans="1:21" x14ac:dyDescent="0.35">
      <c r="A477" t="s">
        <v>2387</v>
      </c>
      <c r="B477" s="2">
        <v>43216</v>
      </c>
      <c r="C477" s="2" t="str">
        <f t="shared" si="14"/>
        <v>April</v>
      </c>
      <c r="D477" s="2" t="str">
        <f t="shared" si="15"/>
        <v>2018</v>
      </c>
      <c r="E477" s="2" t="s">
        <v>6154</v>
      </c>
      <c r="F477" t="s">
        <v>62</v>
      </c>
      <c r="G477" t="s">
        <v>2388</v>
      </c>
      <c r="H477" t="s">
        <v>2389</v>
      </c>
      <c r="I477" t="s">
        <v>23</v>
      </c>
      <c r="J477" t="s">
        <v>24</v>
      </c>
      <c r="K477" t="s">
        <v>36</v>
      </c>
      <c r="L477" t="s">
        <v>90</v>
      </c>
      <c r="M477" t="s">
        <v>74</v>
      </c>
      <c r="N477" t="s">
        <v>2390</v>
      </c>
      <c r="O477" t="s">
        <v>48</v>
      </c>
      <c r="P477" t="s">
        <v>59</v>
      </c>
      <c r="Q477" t="s">
        <v>2391</v>
      </c>
      <c r="R477">
        <v>102.3</v>
      </c>
      <c r="S477">
        <v>1</v>
      </c>
      <c r="T477">
        <v>0.4</v>
      </c>
      <c r="U477">
        <v>2.21</v>
      </c>
    </row>
    <row r="478" spans="1:21" x14ac:dyDescent="0.35">
      <c r="A478" t="s">
        <v>2392</v>
      </c>
      <c r="B478" s="2">
        <v>43721</v>
      </c>
      <c r="C478" s="2" t="str">
        <f t="shared" si="14"/>
        <v>September</v>
      </c>
      <c r="D478" s="2" t="str">
        <f t="shared" si="15"/>
        <v>2019</v>
      </c>
      <c r="E478" s="2" t="s">
        <v>6007</v>
      </c>
      <c r="F478" t="s">
        <v>20</v>
      </c>
      <c r="G478" t="s">
        <v>2393</v>
      </c>
      <c r="H478" t="s">
        <v>2394</v>
      </c>
      <c r="I478" t="s">
        <v>35</v>
      </c>
      <c r="J478" t="s">
        <v>24</v>
      </c>
      <c r="K478" t="s">
        <v>45</v>
      </c>
      <c r="L478" t="s">
        <v>56</v>
      </c>
      <c r="M478" t="s">
        <v>74</v>
      </c>
      <c r="N478" t="s">
        <v>2395</v>
      </c>
      <c r="O478" t="s">
        <v>67</v>
      </c>
      <c r="P478" t="s">
        <v>117</v>
      </c>
      <c r="Q478" t="s">
        <v>2396</v>
      </c>
      <c r="R478">
        <v>1311.84</v>
      </c>
      <c r="S478">
        <v>1</v>
      </c>
      <c r="T478">
        <v>0.4</v>
      </c>
      <c r="U478">
        <v>-241.88</v>
      </c>
    </row>
    <row r="479" spans="1:21" x14ac:dyDescent="0.35">
      <c r="A479" t="s">
        <v>2397</v>
      </c>
      <c r="B479" s="2">
        <v>42524</v>
      </c>
      <c r="C479" s="2" t="str">
        <f t="shared" si="14"/>
        <v>June</v>
      </c>
      <c r="D479" s="2" t="str">
        <f t="shared" si="15"/>
        <v>2016</v>
      </c>
      <c r="E479" s="2">
        <v>42680</v>
      </c>
      <c r="F479" t="s">
        <v>42</v>
      </c>
      <c r="G479" t="s">
        <v>2398</v>
      </c>
      <c r="H479" t="s">
        <v>2399</v>
      </c>
      <c r="I479" t="s">
        <v>55</v>
      </c>
      <c r="J479" t="s">
        <v>24</v>
      </c>
      <c r="K479" t="s">
        <v>73</v>
      </c>
      <c r="L479" t="s">
        <v>56</v>
      </c>
      <c r="M479" t="s">
        <v>74</v>
      </c>
      <c r="N479" t="s">
        <v>2400</v>
      </c>
      <c r="O479" t="s">
        <v>29</v>
      </c>
      <c r="P479" t="s">
        <v>110</v>
      </c>
      <c r="Q479" t="s">
        <v>2401</v>
      </c>
      <c r="R479">
        <v>1049.18</v>
      </c>
      <c r="S479">
        <v>7</v>
      </c>
      <c r="T479">
        <v>0</v>
      </c>
      <c r="U479">
        <v>198.62</v>
      </c>
    </row>
    <row r="480" spans="1:21" x14ac:dyDescent="0.35">
      <c r="A480" t="s">
        <v>2402</v>
      </c>
      <c r="B480" s="2">
        <v>42954</v>
      </c>
      <c r="C480" s="2" t="str">
        <f t="shared" si="14"/>
        <v>August</v>
      </c>
      <c r="D480" s="2" t="str">
        <f t="shared" si="15"/>
        <v>2017</v>
      </c>
      <c r="E480" s="2" t="s">
        <v>6144</v>
      </c>
      <c r="F480" t="s">
        <v>52</v>
      </c>
      <c r="G480" t="s">
        <v>2403</v>
      </c>
      <c r="H480" t="s">
        <v>2404</v>
      </c>
      <c r="I480" t="s">
        <v>23</v>
      </c>
      <c r="J480" t="s">
        <v>24</v>
      </c>
      <c r="K480" t="s">
        <v>73</v>
      </c>
      <c r="L480" t="s">
        <v>65</v>
      </c>
      <c r="M480" t="s">
        <v>27</v>
      </c>
      <c r="N480" t="s">
        <v>2405</v>
      </c>
      <c r="O480" t="s">
        <v>67</v>
      </c>
      <c r="P480" t="s">
        <v>117</v>
      </c>
      <c r="Q480" t="s">
        <v>2406</v>
      </c>
      <c r="R480">
        <v>1754.99</v>
      </c>
      <c r="S480">
        <v>10</v>
      </c>
      <c r="T480">
        <v>0</v>
      </c>
      <c r="U480">
        <v>855.77</v>
      </c>
    </row>
    <row r="481" spans="1:21" x14ac:dyDescent="0.35">
      <c r="A481" t="s">
        <v>2407</v>
      </c>
      <c r="B481" s="2">
        <v>43682</v>
      </c>
      <c r="C481" s="2" t="str">
        <f t="shared" si="14"/>
        <v>August</v>
      </c>
      <c r="D481" s="2" t="str">
        <f t="shared" si="15"/>
        <v>2019</v>
      </c>
      <c r="E481" s="2" t="s">
        <v>5966</v>
      </c>
      <c r="F481" t="s">
        <v>62</v>
      </c>
      <c r="G481" t="s">
        <v>2408</v>
      </c>
      <c r="H481" t="s">
        <v>2409</v>
      </c>
      <c r="I481" t="s">
        <v>23</v>
      </c>
      <c r="J481" t="s">
        <v>24</v>
      </c>
      <c r="K481" t="s">
        <v>97</v>
      </c>
      <c r="L481" t="s">
        <v>37</v>
      </c>
      <c r="M481" t="s">
        <v>83</v>
      </c>
      <c r="N481" t="s">
        <v>2410</v>
      </c>
      <c r="O481" t="s">
        <v>48</v>
      </c>
      <c r="P481" t="s">
        <v>76</v>
      </c>
      <c r="Q481" t="s">
        <v>2411</v>
      </c>
      <c r="R481">
        <v>196.74</v>
      </c>
      <c r="S481">
        <v>9</v>
      </c>
      <c r="T481">
        <v>0.1</v>
      </c>
      <c r="U481">
        <v>14.61</v>
      </c>
    </row>
    <row r="482" spans="1:21" x14ac:dyDescent="0.35">
      <c r="A482" t="s">
        <v>2412</v>
      </c>
      <c r="B482" s="2">
        <v>42741</v>
      </c>
      <c r="C482" s="2" t="str">
        <f t="shared" si="14"/>
        <v>January</v>
      </c>
      <c r="D482" s="2" t="str">
        <f t="shared" si="15"/>
        <v>2017</v>
      </c>
      <c r="E482" s="2">
        <v>42979</v>
      </c>
      <c r="F482" t="s">
        <v>42</v>
      </c>
      <c r="G482" t="s">
        <v>2413</v>
      </c>
      <c r="H482" t="s">
        <v>2414</v>
      </c>
      <c r="I482" t="s">
        <v>35</v>
      </c>
      <c r="J482" t="s">
        <v>24</v>
      </c>
      <c r="K482" t="s">
        <v>133</v>
      </c>
      <c r="L482" t="s">
        <v>82</v>
      </c>
      <c r="M482" t="s">
        <v>83</v>
      </c>
      <c r="N482" t="s">
        <v>2415</v>
      </c>
      <c r="O482" t="s">
        <v>48</v>
      </c>
      <c r="P482" t="s">
        <v>59</v>
      </c>
      <c r="Q482" t="s">
        <v>1785</v>
      </c>
      <c r="R482">
        <v>751.44</v>
      </c>
      <c r="S482">
        <v>9</v>
      </c>
      <c r="T482">
        <v>0</v>
      </c>
      <c r="U482">
        <v>-124.37</v>
      </c>
    </row>
    <row r="483" spans="1:21" x14ac:dyDescent="0.35">
      <c r="A483" t="s">
        <v>2416</v>
      </c>
      <c r="B483" s="2">
        <v>43371</v>
      </c>
      <c r="C483" s="2" t="str">
        <f t="shared" si="14"/>
        <v>September</v>
      </c>
      <c r="D483" s="2" t="str">
        <f t="shared" si="15"/>
        <v>2018</v>
      </c>
      <c r="E483" s="2">
        <v>43230</v>
      </c>
      <c r="F483" t="s">
        <v>20</v>
      </c>
      <c r="G483" t="s">
        <v>2417</v>
      </c>
      <c r="H483" t="s">
        <v>2418</v>
      </c>
      <c r="I483" t="s">
        <v>23</v>
      </c>
      <c r="J483" t="s">
        <v>24</v>
      </c>
      <c r="K483" t="s">
        <v>81</v>
      </c>
      <c r="L483" t="s">
        <v>26</v>
      </c>
      <c r="M483" t="s">
        <v>57</v>
      </c>
      <c r="N483" t="s">
        <v>2419</v>
      </c>
      <c r="O483" t="s">
        <v>67</v>
      </c>
      <c r="P483" t="s">
        <v>92</v>
      </c>
      <c r="Q483" t="s">
        <v>2420</v>
      </c>
      <c r="R483">
        <v>64.69</v>
      </c>
      <c r="S483">
        <v>7</v>
      </c>
      <c r="T483">
        <v>0.3</v>
      </c>
      <c r="U483">
        <v>-9.8000000000000007</v>
      </c>
    </row>
    <row r="484" spans="1:21" x14ac:dyDescent="0.35">
      <c r="A484" t="s">
        <v>2421</v>
      </c>
      <c r="B484" s="2">
        <v>43582</v>
      </c>
      <c r="C484" s="2" t="str">
        <f t="shared" si="14"/>
        <v>April</v>
      </c>
      <c r="D484" s="2" t="str">
        <f t="shared" si="15"/>
        <v>2019</v>
      </c>
      <c r="E484" s="2">
        <v>43501</v>
      </c>
      <c r="F484" t="s">
        <v>52</v>
      </c>
      <c r="G484" t="s">
        <v>2422</v>
      </c>
      <c r="H484" t="s">
        <v>2423</v>
      </c>
      <c r="I484" t="s">
        <v>35</v>
      </c>
      <c r="J484" t="s">
        <v>24</v>
      </c>
      <c r="K484" t="s">
        <v>25</v>
      </c>
      <c r="L484" t="s">
        <v>56</v>
      </c>
      <c r="M484" t="s">
        <v>57</v>
      </c>
      <c r="N484" t="s">
        <v>2424</v>
      </c>
      <c r="O484" t="s">
        <v>48</v>
      </c>
      <c r="P484" t="s">
        <v>128</v>
      </c>
      <c r="Q484" t="s">
        <v>2425</v>
      </c>
      <c r="R484">
        <v>655.42</v>
      </c>
      <c r="S484">
        <v>4</v>
      </c>
      <c r="T484">
        <v>0</v>
      </c>
      <c r="U484">
        <v>280.56</v>
      </c>
    </row>
    <row r="485" spans="1:21" x14ac:dyDescent="0.35">
      <c r="A485" t="s">
        <v>2426</v>
      </c>
      <c r="B485" s="2">
        <v>43207</v>
      </c>
      <c r="C485" s="2" t="str">
        <f t="shared" si="14"/>
        <v>April</v>
      </c>
      <c r="D485" s="2" t="str">
        <f t="shared" si="15"/>
        <v>2018</v>
      </c>
      <c r="E485" s="2" t="s">
        <v>6014</v>
      </c>
      <c r="F485" t="s">
        <v>62</v>
      </c>
      <c r="G485" t="s">
        <v>2427</v>
      </c>
      <c r="H485" t="s">
        <v>2428</v>
      </c>
      <c r="I485" t="s">
        <v>23</v>
      </c>
      <c r="J485" t="s">
        <v>24</v>
      </c>
      <c r="K485" t="s">
        <v>36</v>
      </c>
      <c r="L485" t="s">
        <v>170</v>
      </c>
      <c r="M485" t="s">
        <v>83</v>
      </c>
      <c r="N485" t="s">
        <v>2429</v>
      </c>
      <c r="O485" t="s">
        <v>29</v>
      </c>
      <c r="P485" t="s">
        <v>39</v>
      </c>
      <c r="Q485" t="s">
        <v>2430</v>
      </c>
      <c r="R485">
        <v>290.13</v>
      </c>
      <c r="S485">
        <v>8</v>
      </c>
      <c r="T485">
        <v>0</v>
      </c>
      <c r="U485">
        <v>-74.33</v>
      </c>
    </row>
    <row r="486" spans="1:21" x14ac:dyDescent="0.35">
      <c r="A486" t="s">
        <v>2431</v>
      </c>
      <c r="B486" s="2">
        <v>43145</v>
      </c>
      <c r="C486" s="2" t="str">
        <f t="shared" si="14"/>
        <v>February</v>
      </c>
      <c r="D486" s="2" t="str">
        <f t="shared" si="15"/>
        <v>2018</v>
      </c>
      <c r="E486" s="2" t="s">
        <v>5902</v>
      </c>
      <c r="F486" t="s">
        <v>62</v>
      </c>
      <c r="G486" t="s">
        <v>2432</v>
      </c>
      <c r="H486" t="s">
        <v>2433</v>
      </c>
      <c r="I486" t="s">
        <v>23</v>
      </c>
      <c r="J486" t="s">
        <v>24</v>
      </c>
      <c r="K486" t="s">
        <v>45</v>
      </c>
      <c r="L486" t="s">
        <v>36</v>
      </c>
      <c r="M486" t="s">
        <v>57</v>
      </c>
      <c r="N486" t="s">
        <v>2434</v>
      </c>
      <c r="O486" t="s">
        <v>48</v>
      </c>
      <c r="P486" t="s">
        <v>59</v>
      </c>
      <c r="Q486" t="s">
        <v>2435</v>
      </c>
      <c r="R486">
        <v>524.88</v>
      </c>
      <c r="S486">
        <v>7</v>
      </c>
      <c r="T486">
        <v>0.4</v>
      </c>
      <c r="U486">
        <v>108.37</v>
      </c>
    </row>
    <row r="487" spans="1:21" x14ac:dyDescent="0.35">
      <c r="A487" t="s">
        <v>2436</v>
      </c>
      <c r="B487" s="2">
        <v>43114</v>
      </c>
      <c r="C487" s="2" t="str">
        <f t="shared" si="14"/>
        <v>January</v>
      </c>
      <c r="D487" s="2" t="str">
        <f t="shared" si="15"/>
        <v>2018</v>
      </c>
      <c r="E487" s="2" t="s">
        <v>6297</v>
      </c>
      <c r="F487" t="s">
        <v>42</v>
      </c>
      <c r="G487" t="s">
        <v>2437</v>
      </c>
      <c r="H487" t="s">
        <v>2438</v>
      </c>
      <c r="I487" t="s">
        <v>23</v>
      </c>
      <c r="J487" t="s">
        <v>24</v>
      </c>
      <c r="K487" t="s">
        <v>81</v>
      </c>
      <c r="L487" t="s">
        <v>82</v>
      </c>
      <c r="M487" t="s">
        <v>57</v>
      </c>
      <c r="N487" t="s">
        <v>2439</v>
      </c>
      <c r="O487" t="s">
        <v>48</v>
      </c>
      <c r="P487" t="s">
        <v>49</v>
      </c>
      <c r="Q487" t="s">
        <v>2440</v>
      </c>
      <c r="R487">
        <v>321.20999999999998</v>
      </c>
      <c r="S487">
        <v>2</v>
      </c>
      <c r="T487">
        <v>0.2</v>
      </c>
      <c r="U487">
        <v>5.39</v>
      </c>
    </row>
    <row r="488" spans="1:21" x14ac:dyDescent="0.35">
      <c r="A488" t="s">
        <v>2441</v>
      </c>
      <c r="B488" s="2">
        <v>43491</v>
      </c>
      <c r="C488" s="2" t="str">
        <f t="shared" si="14"/>
        <v>January</v>
      </c>
      <c r="D488" s="2" t="str">
        <f t="shared" si="15"/>
        <v>2019</v>
      </c>
      <c r="E488" s="2" t="s">
        <v>6122</v>
      </c>
      <c r="F488" t="s">
        <v>20</v>
      </c>
      <c r="G488" t="s">
        <v>2442</v>
      </c>
      <c r="H488" t="s">
        <v>2443</v>
      </c>
      <c r="I488" t="s">
        <v>55</v>
      </c>
      <c r="J488" t="s">
        <v>24</v>
      </c>
      <c r="K488" t="s">
        <v>81</v>
      </c>
      <c r="L488" t="s">
        <v>56</v>
      </c>
      <c r="M488" t="s">
        <v>74</v>
      </c>
      <c r="N488" t="s">
        <v>2444</v>
      </c>
      <c r="O488" t="s">
        <v>29</v>
      </c>
      <c r="P488" t="s">
        <v>155</v>
      </c>
      <c r="Q488" t="s">
        <v>2445</v>
      </c>
      <c r="R488">
        <v>1495.68</v>
      </c>
      <c r="S488">
        <v>9</v>
      </c>
      <c r="T488">
        <v>0.2</v>
      </c>
      <c r="U488">
        <v>504.05</v>
      </c>
    </row>
    <row r="489" spans="1:21" x14ac:dyDescent="0.35">
      <c r="A489" t="s">
        <v>2446</v>
      </c>
      <c r="B489" s="2">
        <v>43055</v>
      </c>
      <c r="C489" s="2" t="str">
        <f t="shared" si="14"/>
        <v>November</v>
      </c>
      <c r="D489" s="2" t="str">
        <f t="shared" si="15"/>
        <v>2017</v>
      </c>
      <c r="E489" s="2" t="s">
        <v>6293</v>
      </c>
      <c r="F489" t="s">
        <v>20</v>
      </c>
      <c r="G489" t="s">
        <v>2447</v>
      </c>
      <c r="H489" t="s">
        <v>2448</v>
      </c>
      <c r="I489" t="s">
        <v>35</v>
      </c>
      <c r="J489" t="s">
        <v>24</v>
      </c>
      <c r="K489" t="s">
        <v>81</v>
      </c>
      <c r="L489" t="s">
        <v>115</v>
      </c>
      <c r="M489" t="s">
        <v>83</v>
      </c>
      <c r="N489" t="s">
        <v>2449</v>
      </c>
      <c r="O489" t="s">
        <v>29</v>
      </c>
      <c r="P489" t="s">
        <v>30</v>
      </c>
      <c r="Q489" t="s">
        <v>2450</v>
      </c>
      <c r="R489">
        <v>718.4</v>
      </c>
      <c r="S489">
        <v>9</v>
      </c>
      <c r="T489">
        <v>0.3</v>
      </c>
      <c r="U489">
        <v>-198</v>
      </c>
    </row>
    <row r="490" spans="1:21" x14ac:dyDescent="0.35">
      <c r="A490" t="s">
        <v>2451</v>
      </c>
      <c r="B490" s="2">
        <v>42907</v>
      </c>
      <c r="C490" s="2" t="str">
        <f t="shared" si="14"/>
        <v>June</v>
      </c>
      <c r="D490" s="2" t="str">
        <f t="shared" si="15"/>
        <v>2017</v>
      </c>
      <c r="E490" s="2" t="s">
        <v>6041</v>
      </c>
      <c r="F490" t="s">
        <v>20</v>
      </c>
      <c r="G490" t="s">
        <v>2452</v>
      </c>
      <c r="H490" t="s">
        <v>2453</v>
      </c>
      <c r="I490" t="s">
        <v>35</v>
      </c>
      <c r="J490" t="s">
        <v>24</v>
      </c>
      <c r="K490" t="s">
        <v>97</v>
      </c>
      <c r="L490" t="s">
        <v>26</v>
      </c>
      <c r="M490" t="s">
        <v>74</v>
      </c>
      <c r="N490" t="s">
        <v>2454</v>
      </c>
      <c r="O490" t="s">
        <v>29</v>
      </c>
      <c r="P490" t="s">
        <v>30</v>
      </c>
      <c r="Q490" t="s">
        <v>2455</v>
      </c>
      <c r="R490">
        <v>1284.95</v>
      </c>
      <c r="S490">
        <v>1</v>
      </c>
      <c r="T490">
        <v>0</v>
      </c>
      <c r="U490">
        <v>211.01</v>
      </c>
    </row>
    <row r="491" spans="1:21" x14ac:dyDescent="0.35">
      <c r="A491" t="s">
        <v>2456</v>
      </c>
      <c r="B491" s="2">
        <v>43052</v>
      </c>
      <c r="C491" s="2" t="str">
        <f t="shared" si="14"/>
        <v>November</v>
      </c>
      <c r="D491" s="2" t="str">
        <f t="shared" si="15"/>
        <v>2017</v>
      </c>
      <c r="E491" s="2" t="s">
        <v>5924</v>
      </c>
      <c r="F491" t="s">
        <v>20</v>
      </c>
      <c r="G491" t="s">
        <v>2457</v>
      </c>
      <c r="H491" t="s">
        <v>2458</v>
      </c>
      <c r="I491" t="s">
        <v>35</v>
      </c>
      <c r="J491" t="s">
        <v>24</v>
      </c>
      <c r="K491" t="s">
        <v>103</v>
      </c>
      <c r="L491" t="s">
        <v>46</v>
      </c>
      <c r="M491" t="s">
        <v>27</v>
      </c>
      <c r="N491" t="s">
        <v>2459</v>
      </c>
      <c r="O491" t="s">
        <v>29</v>
      </c>
      <c r="P491" t="s">
        <v>110</v>
      </c>
      <c r="Q491" t="s">
        <v>2460</v>
      </c>
      <c r="R491">
        <v>1358.41</v>
      </c>
      <c r="S491">
        <v>4</v>
      </c>
      <c r="T491">
        <v>0.4</v>
      </c>
      <c r="U491">
        <v>296.12</v>
      </c>
    </row>
    <row r="492" spans="1:21" x14ac:dyDescent="0.35">
      <c r="A492" t="s">
        <v>2461</v>
      </c>
      <c r="B492" s="2">
        <v>43345</v>
      </c>
      <c r="C492" s="2" t="str">
        <f t="shared" si="14"/>
        <v>September</v>
      </c>
      <c r="D492" s="2" t="str">
        <f t="shared" si="15"/>
        <v>2018</v>
      </c>
      <c r="E492" s="2">
        <v>43290</v>
      </c>
      <c r="F492" t="s">
        <v>52</v>
      </c>
      <c r="G492" t="s">
        <v>2462</v>
      </c>
      <c r="H492" t="s">
        <v>2463</v>
      </c>
      <c r="I492" t="s">
        <v>55</v>
      </c>
      <c r="J492" t="s">
        <v>24</v>
      </c>
      <c r="K492" t="s">
        <v>133</v>
      </c>
      <c r="L492" t="s">
        <v>56</v>
      </c>
      <c r="M492" t="s">
        <v>27</v>
      </c>
      <c r="N492" t="s">
        <v>2464</v>
      </c>
      <c r="O492" t="s">
        <v>29</v>
      </c>
      <c r="P492" t="s">
        <v>110</v>
      </c>
      <c r="Q492" t="s">
        <v>2465</v>
      </c>
      <c r="R492">
        <v>1956.2</v>
      </c>
      <c r="S492">
        <v>10</v>
      </c>
      <c r="T492">
        <v>0</v>
      </c>
      <c r="U492">
        <v>393.62</v>
      </c>
    </row>
    <row r="493" spans="1:21" x14ac:dyDescent="0.35">
      <c r="A493" t="s">
        <v>2466</v>
      </c>
      <c r="B493" s="2">
        <v>42874</v>
      </c>
      <c r="C493" s="2" t="str">
        <f t="shared" si="14"/>
        <v>May</v>
      </c>
      <c r="D493" s="2" t="str">
        <f t="shared" si="15"/>
        <v>2017</v>
      </c>
      <c r="E493" s="2" t="s">
        <v>6298</v>
      </c>
      <c r="F493" t="s">
        <v>62</v>
      </c>
      <c r="G493" t="s">
        <v>2467</v>
      </c>
      <c r="H493" t="s">
        <v>2468</v>
      </c>
      <c r="I493" t="s">
        <v>55</v>
      </c>
      <c r="J493" t="s">
        <v>24</v>
      </c>
      <c r="K493" t="s">
        <v>25</v>
      </c>
      <c r="L493" t="s">
        <v>46</v>
      </c>
      <c r="M493" t="s">
        <v>74</v>
      </c>
      <c r="N493" t="s">
        <v>2469</v>
      </c>
      <c r="O493" t="s">
        <v>67</v>
      </c>
      <c r="P493" t="s">
        <v>92</v>
      </c>
      <c r="Q493" t="s">
        <v>2470</v>
      </c>
      <c r="R493">
        <v>194.83</v>
      </c>
      <c r="S493">
        <v>9</v>
      </c>
      <c r="T493">
        <v>0.2</v>
      </c>
      <c r="U493">
        <v>7.48</v>
      </c>
    </row>
    <row r="494" spans="1:21" x14ac:dyDescent="0.35">
      <c r="A494" t="s">
        <v>2471</v>
      </c>
      <c r="B494" s="2">
        <v>43770</v>
      </c>
      <c r="C494" s="2" t="str">
        <f t="shared" si="14"/>
        <v>November</v>
      </c>
      <c r="D494" s="2" t="str">
        <f t="shared" si="15"/>
        <v>2019</v>
      </c>
      <c r="E494" s="2">
        <v>43749</v>
      </c>
      <c r="F494" t="s">
        <v>52</v>
      </c>
      <c r="G494" t="s">
        <v>2472</v>
      </c>
      <c r="H494" t="s">
        <v>2473</v>
      </c>
      <c r="I494" t="s">
        <v>55</v>
      </c>
      <c r="J494" t="s">
        <v>24</v>
      </c>
      <c r="K494" t="s">
        <v>103</v>
      </c>
      <c r="L494" t="s">
        <v>90</v>
      </c>
      <c r="M494" t="s">
        <v>83</v>
      </c>
      <c r="N494" t="s">
        <v>2474</v>
      </c>
      <c r="O494" t="s">
        <v>67</v>
      </c>
      <c r="P494" t="s">
        <v>350</v>
      </c>
      <c r="Q494" t="s">
        <v>2475</v>
      </c>
      <c r="R494">
        <v>259.04000000000002</v>
      </c>
      <c r="S494">
        <v>8</v>
      </c>
      <c r="T494">
        <v>0.2</v>
      </c>
      <c r="U494">
        <v>110.54</v>
      </c>
    </row>
    <row r="495" spans="1:21" x14ac:dyDescent="0.35">
      <c r="A495" t="s">
        <v>2476</v>
      </c>
      <c r="B495" s="2">
        <v>43516</v>
      </c>
      <c r="C495" s="2" t="str">
        <f t="shared" si="14"/>
        <v>February</v>
      </c>
      <c r="D495" s="2" t="str">
        <f t="shared" si="15"/>
        <v>2019</v>
      </c>
      <c r="E495" s="2" t="s">
        <v>5931</v>
      </c>
      <c r="F495" t="s">
        <v>20</v>
      </c>
      <c r="G495" t="s">
        <v>2477</v>
      </c>
      <c r="H495" t="s">
        <v>2478</v>
      </c>
      <c r="I495" t="s">
        <v>23</v>
      </c>
      <c r="J495" t="s">
        <v>24</v>
      </c>
      <c r="K495" t="s">
        <v>36</v>
      </c>
      <c r="L495" t="s">
        <v>65</v>
      </c>
      <c r="M495" t="s">
        <v>74</v>
      </c>
      <c r="N495" t="s">
        <v>2479</v>
      </c>
      <c r="O495" t="s">
        <v>29</v>
      </c>
      <c r="P495" t="s">
        <v>155</v>
      </c>
      <c r="Q495" t="s">
        <v>2480</v>
      </c>
      <c r="R495">
        <v>1780.6</v>
      </c>
      <c r="S495">
        <v>4</v>
      </c>
      <c r="T495">
        <v>0</v>
      </c>
      <c r="U495">
        <v>486.76</v>
      </c>
    </row>
    <row r="496" spans="1:21" x14ac:dyDescent="0.35">
      <c r="A496" t="s">
        <v>2481</v>
      </c>
      <c r="B496" s="2">
        <v>43526</v>
      </c>
      <c r="C496" s="2" t="str">
        <f t="shared" si="14"/>
        <v>March</v>
      </c>
      <c r="D496" s="2" t="str">
        <f t="shared" si="15"/>
        <v>2019</v>
      </c>
      <c r="E496" s="2">
        <v>43741</v>
      </c>
      <c r="F496" t="s">
        <v>20</v>
      </c>
      <c r="G496" t="s">
        <v>2482</v>
      </c>
      <c r="H496" t="s">
        <v>2483</v>
      </c>
      <c r="I496" t="s">
        <v>55</v>
      </c>
      <c r="J496" t="s">
        <v>24</v>
      </c>
      <c r="K496" t="s">
        <v>81</v>
      </c>
      <c r="L496" t="s">
        <v>82</v>
      </c>
      <c r="M496" t="s">
        <v>27</v>
      </c>
      <c r="N496" t="s">
        <v>2484</v>
      </c>
      <c r="O496" t="s">
        <v>48</v>
      </c>
      <c r="P496" t="s">
        <v>76</v>
      </c>
      <c r="Q496" t="s">
        <v>2485</v>
      </c>
      <c r="R496">
        <v>1602.66</v>
      </c>
      <c r="S496">
        <v>1</v>
      </c>
      <c r="T496">
        <v>0.2</v>
      </c>
      <c r="U496">
        <v>638.72</v>
      </c>
    </row>
    <row r="497" spans="1:21" x14ac:dyDescent="0.35">
      <c r="A497" t="s">
        <v>2486</v>
      </c>
      <c r="B497" s="2">
        <v>43302</v>
      </c>
      <c r="C497" s="2" t="str">
        <f t="shared" si="14"/>
        <v>July</v>
      </c>
      <c r="D497" s="2" t="str">
        <f t="shared" si="15"/>
        <v>2018</v>
      </c>
      <c r="E497" s="2" t="s">
        <v>6223</v>
      </c>
      <c r="F497" t="s">
        <v>62</v>
      </c>
      <c r="G497" t="s">
        <v>2487</v>
      </c>
      <c r="H497" t="s">
        <v>2488</v>
      </c>
      <c r="I497" t="s">
        <v>55</v>
      </c>
      <c r="J497" t="s">
        <v>24</v>
      </c>
      <c r="K497" t="s">
        <v>97</v>
      </c>
      <c r="L497" t="s">
        <v>56</v>
      </c>
      <c r="M497" t="s">
        <v>27</v>
      </c>
      <c r="N497" t="s">
        <v>2489</v>
      </c>
      <c r="O497" t="s">
        <v>48</v>
      </c>
      <c r="P497" t="s">
        <v>128</v>
      </c>
      <c r="Q497" t="s">
        <v>2490</v>
      </c>
      <c r="R497">
        <v>223.62</v>
      </c>
      <c r="S497">
        <v>1</v>
      </c>
      <c r="T497">
        <v>0</v>
      </c>
      <c r="U497">
        <v>71.36</v>
      </c>
    </row>
    <row r="498" spans="1:21" x14ac:dyDescent="0.35">
      <c r="A498" t="s">
        <v>2491</v>
      </c>
      <c r="B498" s="2">
        <v>43622</v>
      </c>
      <c r="C498" s="2" t="str">
        <f t="shared" si="14"/>
        <v>June</v>
      </c>
      <c r="D498" s="2" t="str">
        <f t="shared" si="15"/>
        <v>2019</v>
      </c>
      <c r="E498" s="2">
        <v>43775</v>
      </c>
      <c r="F498" t="s">
        <v>62</v>
      </c>
      <c r="G498" t="s">
        <v>2492</v>
      </c>
      <c r="H498" t="s">
        <v>2493</v>
      </c>
      <c r="I498" t="s">
        <v>23</v>
      </c>
      <c r="J498" t="s">
        <v>24</v>
      </c>
      <c r="K498" t="s">
        <v>89</v>
      </c>
      <c r="L498" t="s">
        <v>115</v>
      </c>
      <c r="M498" t="s">
        <v>57</v>
      </c>
      <c r="N498" t="s">
        <v>2494</v>
      </c>
      <c r="O498" t="s">
        <v>29</v>
      </c>
      <c r="P498" t="s">
        <v>30</v>
      </c>
      <c r="Q498" t="s">
        <v>2495</v>
      </c>
      <c r="R498">
        <v>210.86</v>
      </c>
      <c r="S498">
        <v>6</v>
      </c>
      <c r="T498">
        <v>0.3</v>
      </c>
      <c r="U498">
        <v>89.31</v>
      </c>
    </row>
    <row r="499" spans="1:21" x14ac:dyDescent="0.35">
      <c r="A499" t="s">
        <v>2496</v>
      </c>
      <c r="B499" s="2">
        <v>43280</v>
      </c>
      <c r="C499" s="2" t="str">
        <f t="shared" si="14"/>
        <v>June</v>
      </c>
      <c r="D499" s="2" t="str">
        <f t="shared" si="15"/>
        <v>2018</v>
      </c>
      <c r="E499" s="2">
        <v>43107</v>
      </c>
      <c r="F499" t="s">
        <v>20</v>
      </c>
      <c r="G499" t="s">
        <v>2497</v>
      </c>
      <c r="H499" t="s">
        <v>1843</v>
      </c>
      <c r="I499" t="s">
        <v>23</v>
      </c>
      <c r="J499" t="s">
        <v>24</v>
      </c>
      <c r="K499" t="s">
        <v>73</v>
      </c>
      <c r="L499" t="s">
        <v>115</v>
      </c>
      <c r="M499" t="s">
        <v>57</v>
      </c>
      <c r="N499" t="s">
        <v>2498</v>
      </c>
      <c r="O499" t="s">
        <v>67</v>
      </c>
      <c r="P499" t="s">
        <v>229</v>
      </c>
      <c r="Q499" t="s">
        <v>2499</v>
      </c>
      <c r="R499">
        <v>60.39</v>
      </c>
      <c r="S499">
        <v>8</v>
      </c>
      <c r="T499">
        <v>0</v>
      </c>
      <c r="U499">
        <v>-6.59</v>
      </c>
    </row>
    <row r="500" spans="1:21" x14ac:dyDescent="0.35">
      <c r="A500" t="s">
        <v>2500</v>
      </c>
      <c r="B500" s="2">
        <v>43720</v>
      </c>
      <c r="C500" s="2" t="str">
        <f t="shared" si="14"/>
        <v>September</v>
      </c>
      <c r="D500" s="2" t="str">
        <f t="shared" si="15"/>
        <v>2019</v>
      </c>
      <c r="E500" s="2" t="s">
        <v>6299</v>
      </c>
      <c r="F500" t="s">
        <v>20</v>
      </c>
      <c r="G500" t="s">
        <v>2501</v>
      </c>
      <c r="H500" t="s">
        <v>2502</v>
      </c>
      <c r="I500" t="s">
        <v>55</v>
      </c>
      <c r="J500" t="s">
        <v>24</v>
      </c>
      <c r="K500" t="s">
        <v>25</v>
      </c>
      <c r="L500" t="s">
        <v>115</v>
      </c>
      <c r="M500" t="s">
        <v>27</v>
      </c>
      <c r="N500" t="s">
        <v>2503</v>
      </c>
      <c r="O500" t="s">
        <v>29</v>
      </c>
      <c r="P500" t="s">
        <v>39</v>
      </c>
      <c r="Q500" t="s">
        <v>2504</v>
      </c>
      <c r="R500">
        <v>53.61</v>
      </c>
      <c r="S500">
        <v>4</v>
      </c>
      <c r="T500">
        <v>0</v>
      </c>
      <c r="U500">
        <v>10.49</v>
      </c>
    </row>
    <row r="501" spans="1:21" x14ac:dyDescent="0.35">
      <c r="A501" t="s">
        <v>2505</v>
      </c>
      <c r="B501" s="2">
        <v>43687</v>
      </c>
      <c r="C501" s="2" t="str">
        <f t="shared" si="14"/>
        <v>August</v>
      </c>
      <c r="D501" s="2" t="str">
        <f t="shared" si="15"/>
        <v>2019</v>
      </c>
      <c r="E501" s="2" t="s">
        <v>6192</v>
      </c>
      <c r="F501" t="s">
        <v>42</v>
      </c>
      <c r="G501" t="s">
        <v>2506</v>
      </c>
      <c r="H501" t="s">
        <v>2507</v>
      </c>
      <c r="I501" t="s">
        <v>55</v>
      </c>
      <c r="J501" t="s">
        <v>24</v>
      </c>
      <c r="K501" t="s">
        <v>45</v>
      </c>
      <c r="L501" t="s">
        <v>46</v>
      </c>
      <c r="M501" t="s">
        <v>27</v>
      </c>
      <c r="N501" t="s">
        <v>2508</v>
      </c>
      <c r="O501" t="s">
        <v>48</v>
      </c>
      <c r="P501" t="s">
        <v>76</v>
      </c>
      <c r="Q501" t="s">
        <v>2509</v>
      </c>
      <c r="R501">
        <v>1427.36</v>
      </c>
      <c r="S501">
        <v>4</v>
      </c>
      <c r="T501">
        <v>0</v>
      </c>
      <c r="U501">
        <v>210.9</v>
      </c>
    </row>
    <row r="502" spans="1:21" x14ac:dyDescent="0.35">
      <c r="A502" t="s">
        <v>2510</v>
      </c>
      <c r="B502" s="2">
        <v>42915</v>
      </c>
      <c r="C502" s="2" t="str">
        <f t="shared" si="14"/>
        <v>June</v>
      </c>
      <c r="D502" s="2" t="str">
        <f t="shared" si="15"/>
        <v>2017</v>
      </c>
      <c r="E502" s="2">
        <v>42985</v>
      </c>
      <c r="F502" t="s">
        <v>20</v>
      </c>
      <c r="G502" t="s">
        <v>2511</v>
      </c>
      <c r="H502" t="s">
        <v>2512</v>
      </c>
      <c r="I502" t="s">
        <v>55</v>
      </c>
      <c r="J502" t="s">
        <v>24</v>
      </c>
      <c r="K502" t="s">
        <v>36</v>
      </c>
      <c r="L502" t="s">
        <v>65</v>
      </c>
      <c r="M502" t="s">
        <v>83</v>
      </c>
      <c r="N502" t="s">
        <v>2513</v>
      </c>
      <c r="O502" t="s">
        <v>48</v>
      </c>
      <c r="P502" t="s">
        <v>49</v>
      </c>
      <c r="Q502" t="s">
        <v>2514</v>
      </c>
      <c r="R502">
        <v>1877.88</v>
      </c>
      <c r="S502">
        <v>9</v>
      </c>
      <c r="T502">
        <v>0.3</v>
      </c>
      <c r="U502">
        <v>-220.49</v>
      </c>
    </row>
    <row r="503" spans="1:21" x14ac:dyDescent="0.35">
      <c r="A503" t="s">
        <v>2515</v>
      </c>
      <c r="B503" s="2">
        <v>43414</v>
      </c>
      <c r="C503" s="2" t="str">
        <f t="shared" si="14"/>
        <v>November</v>
      </c>
      <c r="D503" s="2" t="str">
        <f t="shared" si="15"/>
        <v>2018</v>
      </c>
      <c r="E503" s="2">
        <v>43415</v>
      </c>
      <c r="F503" t="s">
        <v>42</v>
      </c>
      <c r="G503" t="s">
        <v>2516</v>
      </c>
      <c r="H503" t="s">
        <v>2517</v>
      </c>
      <c r="I503" t="s">
        <v>35</v>
      </c>
      <c r="J503" t="s">
        <v>24</v>
      </c>
      <c r="K503" t="s">
        <v>97</v>
      </c>
      <c r="L503" t="s">
        <v>37</v>
      </c>
      <c r="M503" t="s">
        <v>74</v>
      </c>
      <c r="N503" t="s">
        <v>2518</v>
      </c>
      <c r="O503" t="s">
        <v>48</v>
      </c>
      <c r="P503" t="s">
        <v>49</v>
      </c>
      <c r="Q503" t="s">
        <v>2519</v>
      </c>
      <c r="R503">
        <v>1381.95</v>
      </c>
      <c r="S503">
        <v>8</v>
      </c>
      <c r="T503">
        <v>0.4</v>
      </c>
      <c r="U503">
        <v>87.32</v>
      </c>
    </row>
    <row r="504" spans="1:21" x14ac:dyDescent="0.35">
      <c r="A504" t="s">
        <v>2520</v>
      </c>
      <c r="B504" s="2">
        <v>43147</v>
      </c>
      <c r="C504" s="2" t="str">
        <f t="shared" si="14"/>
        <v>February</v>
      </c>
      <c r="D504" s="2" t="str">
        <f t="shared" si="15"/>
        <v>2018</v>
      </c>
      <c r="E504" s="2" t="s">
        <v>6291</v>
      </c>
      <c r="F504" t="s">
        <v>42</v>
      </c>
      <c r="G504" t="s">
        <v>2521</v>
      </c>
      <c r="H504" t="s">
        <v>2522</v>
      </c>
      <c r="I504" t="s">
        <v>35</v>
      </c>
      <c r="J504" t="s">
        <v>24</v>
      </c>
      <c r="K504" t="s">
        <v>212</v>
      </c>
      <c r="L504" t="s">
        <v>90</v>
      </c>
      <c r="M504" t="s">
        <v>57</v>
      </c>
      <c r="N504" t="s">
        <v>2523</v>
      </c>
      <c r="O504" t="s">
        <v>48</v>
      </c>
      <c r="P504" t="s">
        <v>76</v>
      </c>
      <c r="Q504" t="s">
        <v>2524</v>
      </c>
      <c r="R504">
        <v>562.03</v>
      </c>
      <c r="S504">
        <v>8</v>
      </c>
      <c r="T504">
        <v>0</v>
      </c>
      <c r="U504">
        <v>223.5</v>
      </c>
    </row>
    <row r="505" spans="1:21" x14ac:dyDescent="0.35">
      <c r="A505" t="s">
        <v>2525</v>
      </c>
      <c r="B505" s="2">
        <v>43740</v>
      </c>
      <c r="C505" s="2" t="str">
        <f t="shared" si="14"/>
        <v>October</v>
      </c>
      <c r="D505" s="2" t="str">
        <f t="shared" si="15"/>
        <v>2019</v>
      </c>
      <c r="E505" s="2">
        <v>43565</v>
      </c>
      <c r="F505" t="s">
        <v>20</v>
      </c>
      <c r="G505" t="s">
        <v>2526</v>
      </c>
      <c r="H505" t="s">
        <v>2527</v>
      </c>
      <c r="I505" t="s">
        <v>23</v>
      </c>
      <c r="J505" t="s">
        <v>24</v>
      </c>
      <c r="K505" t="s">
        <v>212</v>
      </c>
      <c r="L505" t="s">
        <v>82</v>
      </c>
      <c r="M505" t="s">
        <v>27</v>
      </c>
      <c r="N505" t="s">
        <v>2528</v>
      </c>
      <c r="O505" t="s">
        <v>67</v>
      </c>
      <c r="P505" t="s">
        <v>92</v>
      </c>
      <c r="Q505" t="s">
        <v>2529</v>
      </c>
      <c r="R505">
        <v>1223.23</v>
      </c>
      <c r="S505">
        <v>9</v>
      </c>
      <c r="T505">
        <v>0.2</v>
      </c>
      <c r="U505">
        <v>565.84</v>
      </c>
    </row>
    <row r="506" spans="1:21" x14ac:dyDescent="0.35">
      <c r="A506" t="s">
        <v>2530</v>
      </c>
      <c r="B506" s="2">
        <v>42470</v>
      </c>
      <c r="C506" s="2" t="str">
        <f t="shared" si="14"/>
        <v>April</v>
      </c>
      <c r="D506" s="2" t="str">
        <f t="shared" si="15"/>
        <v>2016</v>
      </c>
      <c r="E506" s="2" t="s">
        <v>6088</v>
      </c>
      <c r="F506" t="s">
        <v>62</v>
      </c>
      <c r="G506" t="s">
        <v>2531</v>
      </c>
      <c r="H506" t="s">
        <v>2532</v>
      </c>
      <c r="I506" t="s">
        <v>23</v>
      </c>
      <c r="J506" t="s">
        <v>24</v>
      </c>
      <c r="K506" t="s">
        <v>103</v>
      </c>
      <c r="L506" t="s">
        <v>65</v>
      </c>
      <c r="M506" t="s">
        <v>57</v>
      </c>
      <c r="N506" t="s">
        <v>2533</v>
      </c>
      <c r="O506" t="s">
        <v>29</v>
      </c>
      <c r="P506" t="s">
        <v>30</v>
      </c>
      <c r="Q506" t="s">
        <v>2495</v>
      </c>
      <c r="R506">
        <v>1244.6400000000001</v>
      </c>
      <c r="S506">
        <v>6</v>
      </c>
      <c r="T506">
        <v>0.1</v>
      </c>
      <c r="U506">
        <v>530.32000000000005</v>
      </c>
    </row>
    <row r="507" spans="1:21" x14ac:dyDescent="0.35">
      <c r="A507" t="s">
        <v>2534</v>
      </c>
      <c r="B507" s="2">
        <v>42751</v>
      </c>
      <c r="C507" s="2" t="str">
        <f t="shared" si="14"/>
        <v>January</v>
      </c>
      <c r="D507" s="2" t="str">
        <f t="shared" si="15"/>
        <v>2017</v>
      </c>
      <c r="E507" s="2" t="s">
        <v>5946</v>
      </c>
      <c r="F507" t="s">
        <v>20</v>
      </c>
      <c r="G507" t="s">
        <v>2535</v>
      </c>
      <c r="H507" t="s">
        <v>2536</v>
      </c>
      <c r="I507" t="s">
        <v>55</v>
      </c>
      <c r="J507" t="s">
        <v>24</v>
      </c>
      <c r="K507" t="s">
        <v>212</v>
      </c>
      <c r="L507" t="s">
        <v>82</v>
      </c>
      <c r="M507" t="s">
        <v>27</v>
      </c>
      <c r="N507" t="s">
        <v>2537</v>
      </c>
      <c r="O507" t="s">
        <v>29</v>
      </c>
      <c r="P507" t="s">
        <v>39</v>
      </c>
      <c r="Q507" t="s">
        <v>2538</v>
      </c>
      <c r="R507">
        <v>265.82</v>
      </c>
      <c r="S507">
        <v>7</v>
      </c>
      <c r="T507">
        <v>0</v>
      </c>
      <c r="U507">
        <v>-39.44</v>
      </c>
    </row>
    <row r="508" spans="1:21" x14ac:dyDescent="0.35">
      <c r="A508" t="s">
        <v>2539</v>
      </c>
      <c r="B508" s="2">
        <v>43219</v>
      </c>
      <c r="C508" s="2" t="str">
        <f t="shared" si="14"/>
        <v>April</v>
      </c>
      <c r="D508" s="2" t="str">
        <f t="shared" si="15"/>
        <v>2018</v>
      </c>
      <c r="E508" s="2">
        <v>43225</v>
      </c>
      <c r="F508" t="s">
        <v>62</v>
      </c>
      <c r="G508" t="s">
        <v>2540</v>
      </c>
      <c r="H508" t="s">
        <v>2541</v>
      </c>
      <c r="I508" t="s">
        <v>55</v>
      </c>
      <c r="J508" t="s">
        <v>24</v>
      </c>
      <c r="K508" t="s">
        <v>89</v>
      </c>
      <c r="L508" t="s">
        <v>90</v>
      </c>
      <c r="M508" t="s">
        <v>74</v>
      </c>
      <c r="N508" t="s">
        <v>2542</v>
      </c>
      <c r="O508" t="s">
        <v>48</v>
      </c>
      <c r="P508" t="s">
        <v>76</v>
      </c>
      <c r="Q508" t="s">
        <v>1332</v>
      </c>
      <c r="R508">
        <v>243.09</v>
      </c>
      <c r="S508">
        <v>1</v>
      </c>
      <c r="T508">
        <v>0.4</v>
      </c>
      <c r="U508">
        <v>-54.96</v>
      </c>
    </row>
    <row r="509" spans="1:21" x14ac:dyDescent="0.35">
      <c r="A509" t="s">
        <v>2543</v>
      </c>
      <c r="B509" s="2">
        <v>42941</v>
      </c>
      <c r="C509" s="2" t="str">
        <f t="shared" si="14"/>
        <v>July</v>
      </c>
      <c r="D509" s="2" t="str">
        <f t="shared" si="15"/>
        <v>2017</v>
      </c>
      <c r="E509" s="2" t="s">
        <v>6033</v>
      </c>
      <c r="F509" t="s">
        <v>42</v>
      </c>
      <c r="G509" t="s">
        <v>2544</v>
      </c>
      <c r="H509" t="s">
        <v>2115</v>
      </c>
      <c r="I509" t="s">
        <v>23</v>
      </c>
      <c r="J509" t="s">
        <v>24</v>
      </c>
      <c r="K509" t="s">
        <v>45</v>
      </c>
      <c r="L509" t="s">
        <v>26</v>
      </c>
      <c r="M509" t="s">
        <v>74</v>
      </c>
      <c r="N509" t="s">
        <v>2545</v>
      </c>
      <c r="O509" t="s">
        <v>67</v>
      </c>
      <c r="P509" t="s">
        <v>350</v>
      </c>
      <c r="Q509" t="s">
        <v>2546</v>
      </c>
      <c r="R509">
        <v>1824.04</v>
      </c>
      <c r="S509">
        <v>9</v>
      </c>
      <c r="T509">
        <v>0</v>
      </c>
      <c r="U509">
        <v>-382.47</v>
      </c>
    </row>
    <row r="510" spans="1:21" x14ac:dyDescent="0.35">
      <c r="A510" t="s">
        <v>2547</v>
      </c>
      <c r="B510" s="2">
        <v>42833</v>
      </c>
      <c r="C510" s="2" t="str">
        <f t="shared" si="14"/>
        <v>April</v>
      </c>
      <c r="D510" s="2" t="str">
        <f t="shared" si="15"/>
        <v>2017</v>
      </c>
      <c r="E510" s="2" t="s">
        <v>6300</v>
      </c>
      <c r="F510" t="s">
        <v>42</v>
      </c>
      <c r="G510" t="s">
        <v>2548</v>
      </c>
      <c r="H510" t="s">
        <v>2549</v>
      </c>
      <c r="I510" t="s">
        <v>35</v>
      </c>
      <c r="J510" t="s">
        <v>24</v>
      </c>
      <c r="K510" t="s">
        <v>97</v>
      </c>
      <c r="L510" t="s">
        <v>115</v>
      </c>
      <c r="M510" t="s">
        <v>74</v>
      </c>
      <c r="N510" t="s">
        <v>2550</v>
      </c>
      <c r="O510" t="s">
        <v>67</v>
      </c>
      <c r="P510" t="s">
        <v>68</v>
      </c>
      <c r="Q510" t="s">
        <v>2551</v>
      </c>
      <c r="R510">
        <v>618.79999999999995</v>
      </c>
      <c r="S510">
        <v>4</v>
      </c>
      <c r="T510">
        <v>0.2</v>
      </c>
      <c r="U510">
        <v>59.2</v>
      </c>
    </row>
    <row r="511" spans="1:21" x14ac:dyDescent="0.35">
      <c r="A511" t="s">
        <v>2552</v>
      </c>
      <c r="B511" s="2">
        <v>43729</v>
      </c>
      <c r="C511" s="2" t="str">
        <f t="shared" si="14"/>
        <v>September</v>
      </c>
      <c r="D511" s="2" t="str">
        <f t="shared" si="15"/>
        <v>2019</v>
      </c>
      <c r="E511" s="2">
        <v>43475</v>
      </c>
      <c r="F511" t="s">
        <v>42</v>
      </c>
      <c r="G511" t="s">
        <v>2553</v>
      </c>
      <c r="H511" t="s">
        <v>2554</v>
      </c>
      <c r="I511" t="s">
        <v>23</v>
      </c>
      <c r="J511" t="s">
        <v>24</v>
      </c>
      <c r="K511" t="s">
        <v>89</v>
      </c>
      <c r="L511" t="s">
        <v>26</v>
      </c>
      <c r="M511" t="s">
        <v>83</v>
      </c>
      <c r="N511" t="s">
        <v>2555</v>
      </c>
      <c r="O511" t="s">
        <v>29</v>
      </c>
      <c r="P511" t="s">
        <v>155</v>
      </c>
      <c r="Q511" t="s">
        <v>2556</v>
      </c>
      <c r="R511">
        <v>772.22</v>
      </c>
      <c r="S511">
        <v>10</v>
      </c>
      <c r="T511">
        <v>0</v>
      </c>
      <c r="U511">
        <v>42.59</v>
      </c>
    </row>
    <row r="512" spans="1:21" x14ac:dyDescent="0.35">
      <c r="A512" t="s">
        <v>2557</v>
      </c>
      <c r="B512" s="2">
        <v>42756</v>
      </c>
      <c r="C512" s="2" t="str">
        <f t="shared" si="14"/>
        <v>January</v>
      </c>
      <c r="D512" s="2" t="str">
        <f t="shared" si="15"/>
        <v>2017</v>
      </c>
      <c r="E512" s="2" t="s">
        <v>6171</v>
      </c>
      <c r="F512" t="s">
        <v>52</v>
      </c>
      <c r="G512" t="s">
        <v>2558</v>
      </c>
      <c r="H512" t="s">
        <v>2559</v>
      </c>
      <c r="I512" t="s">
        <v>23</v>
      </c>
      <c r="J512" t="s">
        <v>24</v>
      </c>
      <c r="K512" t="s">
        <v>103</v>
      </c>
      <c r="L512" t="s">
        <v>37</v>
      </c>
      <c r="M512" t="s">
        <v>57</v>
      </c>
      <c r="N512" t="s">
        <v>2560</v>
      </c>
      <c r="O512" t="s">
        <v>67</v>
      </c>
      <c r="P512" t="s">
        <v>197</v>
      </c>
      <c r="Q512" t="s">
        <v>2561</v>
      </c>
      <c r="R512">
        <v>190.49</v>
      </c>
      <c r="S512">
        <v>2</v>
      </c>
      <c r="T512">
        <v>0.1</v>
      </c>
      <c r="U512">
        <v>-45.58</v>
      </c>
    </row>
    <row r="513" spans="1:21" x14ac:dyDescent="0.35">
      <c r="A513" t="s">
        <v>2562</v>
      </c>
      <c r="B513" s="2">
        <v>43163</v>
      </c>
      <c r="C513" s="2" t="str">
        <f t="shared" si="14"/>
        <v>March</v>
      </c>
      <c r="D513" s="2" t="str">
        <f t="shared" si="15"/>
        <v>2018</v>
      </c>
      <c r="E513" s="2">
        <v>43223</v>
      </c>
      <c r="F513" t="s">
        <v>52</v>
      </c>
      <c r="G513" t="s">
        <v>2563</v>
      </c>
      <c r="H513" t="s">
        <v>2564</v>
      </c>
      <c r="I513" t="s">
        <v>55</v>
      </c>
      <c r="J513" t="s">
        <v>24</v>
      </c>
      <c r="K513" t="s">
        <v>103</v>
      </c>
      <c r="L513" t="s">
        <v>82</v>
      </c>
      <c r="M513" t="s">
        <v>83</v>
      </c>
      <c r="N513" t="s">
        <v>2565</v>
      </c>
      <c r="O513" t="s">
        <v>67</v>
      </c>
      <c r="P513" t="s">
        <v>229</v>
      </c>
      <c r="Q513" t="s">
        <v>1971</v>
      </c>
      <c r="R513">
        <v>152.44</v>
      </c>
      <c r="S513">
        <v>7</v>
      </c>
      <c r="T513">
        <v>0.1</v>
      </c>
      <c r="U513">
        <v>62.16</v>
      </c>
    </row>
    <row r="514" spans="1:21" x14ac:dyDescent="0.35">
      <c r="A514" t="s">
        <v>2566</v>
      </c>
      <c r="B514" s="2">
        <v>42474</v>
      </c>
      <c r="C514" s="2" t="str">
        <f t="shared" si="14"/>
        <v>April</v>
      </c>
      <c r="D514" s="2" t="str">
        <f t="shared" si="15"/>
        <v>2016</v>
      </c>
      <c r="E514" s="2" t="s">
        <v>6301</v>
      </c>
      <c r="F514" t="s">
        <v>20</v>
      </c>
      <c r="G514" t="s">
        <v>2567</v>
      </c>
      <c r="H514" t="s">
        <v>2568</v>
      </c>
      <c r="I514" t="s">
        <v>35</v>
      </c>
      <c r="J514" t="s">
        <v>24</v>
      </c>
      <c r="K514" t="s">
        <v>81</v>
      </c>
      <c r="L514" t="s">
        <v>170</v>
      </c>
      <c r="M514" t="s">
        <v>27</v>
      </c>
      <c r="N514" t="s">
        <v>2569</v>
      </c>
      <c r="O514" t="s">
        <v>48</v>
      </c>
      <c r="P514" t="s">
        <v>59</v>
      </c>
      <c r="Q514" t="s">
        <v>2570</v>
      </c>
      <c r="R514">
        <v>117.26</v>
      </c>
      <c r="S514">
        <v>5</v>
      </c>
      <c r="T514">
        <v>0.1</v>
      </c>
      <c r="U514">
        <v>15.1</v>
      </c>
    </row>
    <row r="515" spans="1:21" x14ac:dyDescent="0.35">
      <c r="A515" t="s">
        <v>2571</v>
      </c>
      <c r="B515" s="2">
        <v>43408</v>
      </c>
      <c r="C515" s="2" t="str">
        <f t="shared" ref="C515:C578" si="16">TEXT(B515,"mmmm")</f>
        <v>November</v>
      </c>
      <c r="D515" s="2" t="str">
        <f t="shared" ref="D515:D578" si="17">TEXT(B515,"yyyy")</f>
        <v>2018</v>
      </c>
      <c r="E515" s="2">
        <v>43445</v>
      </c>
      <c r="F515" t="s">
        <v>42</v>
      </c>
      <c r="G515" t="s">
        <v>2572</v>
      </c>
      <c r="H515" t="s">
        <v>2573</v>
      </c>
      <c r="I515" t="s">
        <v>35</v>
      </c>
      <c r="J515" t="s">
        <v>24</v>
      </c>
      <c r="K515" t="s">
        <v>45</v>
      </c>
      <c r="L515" t="s">
        <v>26</v>
      </c>
      <c r="M515" t="s">
        <v>57</v>
      </c>
      <c r="N515" t="s">
        <v>2574</v>
      </c>
      <c r="O515" t="s">
        <v>48</v>
      </c>
      <c r="P515" t="s">
        <v>76</v>
      </c>
      <c r="Q515" t="s">
        <v>2575</v>
      </c>
      <c r="R515">
        <v>476.37</v>
      </c>
      <c r="S515">
        <v>4</v>
      </c>
      <c r="T515">
        <v>0.4</v>
      </c>
      <c r="U515">
        <v>212.63</v>
      </c>
    </row>
    <row r="516" spans="1:21" x14ac:dyDescent="0.35">
      <c r="A516" t="s">
        <v>2576</v>
      </c>
      <c r="B516" s="2">
        <v>42836</v>
      </c>
      <c r="C516" s="2" t="str">
        <f t="shared" si="16"/>
        <v>April</v>
      </c>
      <c r="D516" s="2" t="str">
        <f t="shared" si="17"/>
        <v>2017</v>
      </c>
      <c r="E516" s="2" t="s">
        <v>6072</v>
      </c>
      <c r="F516" t="s">
        <v>42</v>
      </c>
      <c r="G516" t="s">
        <v>2577</v>
      </c>
      <c r="H516" t="s">
        <v>2549</v>
      </c>
      <c r="I516" t="s">
        <v>55</v>
      </c>
      <c r="J516" t="s">
        <v>24</v>
      </c>
      <c r="K516" t="s">
        <v>89</v>
      </c>
      <c r="L516" t="s">
        <v>82</v>
      </c>
      <c r="M516" t="s">
        <v>83</v>
      </c>
      <c r="N516" t="s">
        <v>2578</v>
      </c>
      <c r="O516" t="s">
        <v>29</v>
      </c>
      <c r="P516" t="s">
        <v>39</v>
      </c>
      <c r="Q516" t="s">
        <v>371</v>
      </c>
      <c r="R516">
        <v>291.01</v>
      </c>
      <c r="S516">
        <v>9</v>
      </c>
      <c r="T516">
        <v>0.3</v>
      </c>
      <c r="U516">
        <v>59.66</v>
      </c>
    </row>
    <row r="517" spans="1:21" x14ac:dyDescent="0.35">
      <c r="A517" t="s">
        <v>2579</v>
      </c>
      <c r="B517" s="2">
        <v>43352</v>
      </c>
      <c r="C517" s="2" t="str">
        <f t="shared" si="16"/>
        <v>September</v>
      </c>
      <c r="D517" s="2" t="str">
        <f t="shared" si="17"/>
        <v>2018</v>
      </c>
      <c r="E517" s="2" t="s">
        <v>6302</v>
      </c>
      <c r="F517" t="s">
        <v>20</v>
      </c>
      <c r="G517" t="s">
        <v>2580</v>
      </c>
      <c r="H517" t="s">
        <v>2581</v>
      </c>
      <c r="I517" t="s">
        <v>23</v>
      </c>
      <c r="J517" t="s">
        <v>24</v>
      </c>
      <c r="K517" t="s">
        <v>25</v>
      </c>
      <c r="L517" t="s">
        <v>90</v>
      </c>
      <c r="M517" t="s">
        <v>57</v>
      </c>
      <c r="N517" t="s">
        <v>2582</v>
      </c>
      <c r="O517" t="s">
        <v>29</v>
      </c>
      <c r="P517" t="s">
        <v>155</v>
      </c>
      <c r="Q517" t="s">
        <v>626</v>
      </c>
      <c r="R517">
        <v>1346.76</v>
      </c>
      <c r="S517">
        <v>9</v>
      </c>
      <c r="T517">
        <v>0</v>
      </c>
      <c r="U517">
        <v>-16.079999999999998</v>
      </c>
    </row>
    <row r="518" spans="1:21" x14ac:dyDescent="0.35">
      <c r="A518" t="s">
        <v>2583</v>
      </c>
      <c r="B518" s="2">
        <v>42678</v>
      </c>
      <c r="C518" s="2" t="str">
        <f t="shared" si="16"/>
        <v>November</v>
      </c>
      <c r="D518" s="2" t="str">
        <f t="shared" si="17"/>
        <v>2016</v>
      </c>
      <c r="E518" s="2">
        <v>42501</v>
      </c>
      <c r="F518" t="s">
        <v>52</v>
      </c>
      <c r="G518" t="s">
        <v>2584</v>
      </c>
      <c r="H518" t="s">
        <v>2199</v>
      </c>
      <c r="I518" t="s">
        <v>35</v>
      </c>
      <c r="J518" t="s">
        <v>24</v>
      </c>
      <c r="K518" t="s">
        <v>45</v>
      </c>
      <c r="L518" t="s">
        <v>36</v>
      </c>
      <c r="M518" t="s">
        <v>27</v>
      </c>
      <c r="N518" t="s">
        <v>2585</v>
      </c>
      <c r="O518" t="s">
        <v>67</v>
      </c>
      <c r="P518" t="s">
        <v>92</v>
      </c>
      <c r="Q518" t="s">
        <v>2586</v>
      </c>
      <c r="R518">
        <v>960.34</v>
      </c>
      <c r="S518">
        <v>8</v>
      </c>
      <c r="T518">
        <v>0.4</v>
      </c>
      <c r="U518">
        <v>414.92</v>
      </c>
    </row>
    <row r="519" spans="1:21" x14ac:dyDescent="0.35">
      <c r="A519" t="s">
        <v>2587</v>
      </c>
      <c r="B519" s="2">
        <v>42739</v>
      </c>
      <c r="C519" s="2" t="str">
        <f t="shared" si="16"/>
        <v>January</v>
      </c>
      <c r="D519" s="2" t="str">
        <f t="shared" si="17"/>
        <v>2017</v>
      </c>
      <c r="E519" s="2">
        <v>42856</v>
      </c>
      <c r="F519" t="s">
        <v>62</v>
      </c>
      <c r="G519" t="s">
        <v>2588</v>
      </c>
      <c r="H519" t="s">
        <v>2589</v>
      </c>
      <c r="I519" t="s">
        <v>23</v>
      </c>
      <c r="J519" t="s">
        <v>24</v>
      </c>
      <c r="K519" t="s">
        <v>97</v>
      </c>
      <c r="L519" t="s">
        <v>37</v>
      </c>
      <c r="M519" t="s">
        <v>83</v>
      </c>
      <c r="N519" t="s">
        <v>2590</v>
      </c>
      <c r="O519" t="s">
        <v>29</v>
      </c>
      <c r="P519" t="s">
        <v>30</v>
      </c>
      <c r="Q519" t="s">
        <v>2591</v>
      </c>
      <c r="R519">
        <v>1002.08</v>
      </c>
      <c r="S519">
        <v>7</v>
      </c>
      <c r="T519">
        <v>0.2</v>
      </c>
      <c r="U519">
        <v>152.18</v>
      </c>
    </row>
    <row r="520" spans="1:21" x14ac:dyDescent="0.35">
      <c r="A520" t="s">
        <v>2592</v>
      </c>
      <c r="B520" s="2">
        <v>42974</v>
      </c>
      <c r="C520" s="2" t="str">
        <f t="shared" si="16"/>
        <v>August</v>
      </c>
      <c r="D520" s="2" t="str">
        <f t="shared" si="17"/>
        <v>2017</v>
      </c>
      <c r="E520" s="2">
        <v>42895</v>
      </c>
      <c r="F520" t="s">
        <v>42</v>
      </c>
      <c r="G520" t="s">
        <v>2593</v>
      </c>
      <c r="H520" t="s">
        <v>2594</v>
      </c>
      <c r="I520" t="s">
        <v>55</v>
      </c>
      <c r="J520" t="s">
        <v>24</v>
      </c>
      <c r="K520" t="s">
        <v>25</v>
      </c>
      <c r="L520" t="s">
        <v>170</v>
      </c>
      <c r="M520" t="s">
        <v>27</v>
      </c>
      <c r="N520" t="s">
        <v>2595</v>
      </c>
      <c r="O520" t="s">
        <v>48</v>
      </c>
      <c r="P520" t="s">
        <v>128</v>
      </c>
      <c r="Q520" t="s">
        <v>2596</v>
      </c>
      <c r="R520">
        <v>1750.68</v>
      </c>
      <c r="S520">
        <v>8</v>
      </c>
      <c r="T520">
        <v>0.4</v>
      </c>
      <c r="U520">
        <v>813.86</v>
      </c>
    </row>
    <row r="521" spans="1:21" x14ac:dyDescent="0.35">
      <c r="A521" t="s">
        <v>2597</v>
      </c>
      <c r="B521" s="2">
        <v>43087</v>
      </c>
      <c r="C521" s="2" t="str">
        <f t="shared" si="16"/>
        <v>December</v>
      </c>
      <c r="D521" s="2" t="str">
        <f t="shared" si="17"/>
        <v>2017</v>
      </c>
      <c r="E521" s="2" t="s">
        <v>6303</v>
      </c>
      <c r="F521" t="s">
        <v>62</v>
      </c>
      <c r="G521" t="s">
        <v>2598</v>
      </c>
      <c r="H521" t="s">
        <v>2599</v>
      </c>
      <c r="I521" t="s">
        <v>55</v>
      </c>
      <c r="J521" t="s">
        <v>24</v>
      </c>
      <c r="K521" t="s">
        <v>97</v>
      </c>
      <c r="L521" t="s">
        <v>65</v>
      </c>
      <c r="M521" t="s">
        <v>83</v>
      </c>
      <c r="N521" t="s">
        <v>2600</v>
      </c>
      <c r="O521" t="s">
        <v>29</v>
      </c>
      <c r="P521" t="s">
        <v>30</v>
      </c>
      <c r="Q521" t="s">
        <v>2601</v>
      </c>
      <c r="R521">
        <v>1831.75</v>
      </c>
      <c r="S521">
        <v>10</v>
      </c>
      <c r="T521">
        <v>0.4</v>
      </c>
      <c r="U521">
        <v>650.96</v>
      </c>
    </row>
    <row r="522" spans="1:21" x14ac:dyDescent="0.35">
      <c r="A522" t="s">
        <v>2602</v>
      </c>
      <c r="B522" s="2">
        <v>42584</v>
      </c>
      <c r="C522" s="2" t="str">
        <f t="shared" si="16"/>
        <v>August</v>
      </c>
      <c r="D522" s="2" t="str">
        <f t="shared" si="17"/>
        <v>2016</v>
      </c>
      <c r="E522" s="2">
        <v>42682</v>
      </c>
      <c r="F522" t="s">
        <v>42</v>
      </c>
      <c r="G522" t="s">
        <v>2603</v>
      </c>
      <c r="H522" t="s">
        <v>2604</v>
      </c>
      <c r="I522" t="s">
        <v>35</v>
      </c>
      <c r="J522" t="s">
        <v>24</v>
      </c>
      <c r="K522" t="s">
        <v>89</v>
      </c>
      <c r="L522" t="s">
        <v>90</v>
      </c>
      <c r="M522" t="s">
        <v>83</v>
      </c>
      <c r="N522" t="s">
        <v>2605</v>
      </c>
      <c r="O522" t="s">
        <v>67</v>
      </c>
      <c r="P522" t="s">
        <v>68</v>
      </c>
      <c r="Q522" t="s">
        <v>2606</v>
      </c>
      <c r="R522">
        <v>1823.33</v>
      </c>
      <c r="S522">
        <v>8</v>
      </c>
      <c r="T522">
        <v>0.1</v>
      </c>
      <c r="U522">
        <v>814.4</v>
      </c>
    </row>
    <row r="523" spans="1:21" x14ac:dyDescent="0.35">
      <c r="A523" t="s">
        <v>2552</v>
      </c>
      <c r="B523" s="2">
        <v>43395</v>
      </c>
      <c r="C523" s="2" t="str">
        <f t="shared" si="16"/>
        <v>October</v>
      </c>
      <c r="D523" s="2" t="str">
        <f t="shared" si="17"/>
        <v>2018</v>
      </c>
      <c r="E523" s="2" t="s">
        <v>5967</v>
      </c>
      <c r="F523" t="s">
        <v>42</v>
      </c>
      <c r="G523" t="s">
        <v>2607</v>
      </c>
      <c r="H523" t="s">
        <v>2608</v>
      </c>
      <c r="I523" t="s">
        <v>35</v>
      </c>
      <c r="J523" t="s">
        <v>24</v>
      </c>
      <c r="K523" t="s">
        <v>45</v>
      </c>
      <c r="L523" t="s">
        <v>65</v>
      </c>
      <c r="M523" t="s">
        <v>74</v>
      </c>
      <c r="N523" t="s">
        <v>2609</v>
      </c>
      <c r="O523" t="s">
        <v>67</v>
      </c>
      <c r="P523" t="s">
        <v>68</v>
      </c>
      <c r="Q523" t="s">
        <v>2610</v>
      </c>
      <c r="R523">
        <v>1921.12</v>
      </c>
      <c r="S523">
        <v>3</v>
      </c>
      <c r="T523">
        <v>0</v>
      </c>
      <c r="U523">
        <v>-307.98</v>
      </c>
    </row>
    <row r="524" spans="1:21" x14ac:dyDescent="0.35">
      <c r="A524" t="s">
        <v>2611</v>
      </c>
      <c r="B524" s="2">
        <v>42916</v>
      </c>
      <c r="C524" s="2" t="str">
        <f t="shared" si="16"/>
        <v>June</v>
      </c>
      <c r="D524" s="2" t="str">
        <f t="shared" si="17"/>
        <v>2017</v>
      </c>
      <c r="E524" s="2">
        <v>43015</v>
      </c>
      <c r="F524" t="s">
        <v>52</v>
      </c>
      <c r="G524" t="s">
        <v>2612</v>
      </c>
      <c r="H524" t="s">
        <v>2613</v>
      </c>
      <c r="I524" t="s">
        <v>23</v>
      </c>
      <c r="J524" t="s">
        <v>24</v>
      </c>
      <c r="K524" t="s">
        <v>25</v>
      </c>
      <c r="L524" t="s">
        <v>56</v>
      </c>
      <c r="M524" t="s">
        <v>27</v>
      </c>
      <c r="N524" t="s">
        <v>2614</v>
      </c>
      <c r="O524" t="s">
        <v>67</v>
      </c>
      <c r="P524" t="s">
        <v>92</v>
      </c>
      <c r="Q524" t="s">
        <v>2615</v>
      </c>
      <c r="R524">
        <v>1423.18</v>
      </c>
      <c r="S524">
        <v>5</v>
      </c>
      <c r="T524">
        <v>0</v>
      </c>
      <c r="U524">
        <v>183.44</v>
      </c>
    </row>
    <row r="525" spans="1:21" x14ac:dyDescent="0.35">
      <c r="A525" t="s">
        <v>2616</v>
      </c>
      <c r="B525" s="2">
        <v>43328</v>
      </c>
      <c r="C525" s="2" t="str">
        <f t="shared" si="16"/>
        <v>August</v>
      </c>
      <c r="D525" s="2" t="str">
        <f t="shared" si="17"/>
        <v>2018</v>
      </c>
      <c r="E525" s="2" t="s">
        <v>5941</v>
      </c>
      <c r="F525" t="s">
        <v>20</v>
      </c>
      <c r="G525" t="s">
        <v>2617</v>
      </c>
      <c r="H525" t="s">
        <v>2618</v>
      </c>
      <c r="I525" t="s">
        <v>23</v>
      </c>
      <c r="J525" t="s">
        <v>24</v>
      </c>
      <c r="K525" t="s">
        <v>25</v>
      </c>
      <c r="L525" t="s">
        <v>46</v>
      </c>
      <c r="M525" t="s">
        <v>74</v>
      </c>
      <c r="N525" t="s">
        <v>2619</v>
      </c>
      <c r="O525" t="s">
        <v>48</v>
      </c>
      <c r="P525" t="s">
        <v>49</v>
      </c>
      <c r="Q525" t="s">
        <v>2620</v>
      </c>
      <c r="R525">
        <v>624.41999999999996</v>
      </c>
      <c r="S525">
        <v>2</v>
      </c>
      <c r="T525">
        <v>0.3</v>
      </c>
      <c r="U525">
        <v>-97.11</v>
      </c>
    </row>
    <row r="526" spans="1:21" x14ac:dyDescent="0.35">
      <c r="A526" t="s">
        <v>2621</v>
      </c>
      <c r="B526" s="2">
        <v>42814</v>
      </c>
      <c r="C526" s="2" t="str">
        <f t="shared" si="16"/>
        <v>March</v>
      </c>
      <c r="D526" s="2" t="str">
        <f t="shared" si="17"/>
        <v>2017</v>
      </c>
      <c r="E526" s="2" t="s">
        <v>6013</v>
      </c>
      <c r="F526" t="s">
        <v>20</v>
      </c>
      <c r="G526" t="s">
        <v>2622</v>
      </c>
      <c r="H526" t="s">
        <v>2623</v>
      </c>
      <c r="I526" t="s">
        <v>55</v>
      </c>
      <c r="J526" t="s">
        <v>24</v>
      </c>
      <c r="K526" t="s">
        <v>89</v>
      </c>
      <c r="L526" t="s">
        <v>90</v>
      </c>
      <c r="M526" t="s">
        <v>27</v>
      </c>
      <c r="N526" t="s">
        <v>2624</v>
      </c>
      <c r="O526" t="s">
        <v>29</v>
      </c>
      <c r="P526" t="s">
        <v>155</v>
      </c>
      <c r="Q526" t="s">
        <v>2625</v>
      </c>
      <c r="R526">
        <v>1762.06</v>
      </c>
      <c r="S526">
        <v>1</v>
      </c>
      <c r="T526">
        <v>0.3</v>
      </c>
      <c r="U526">
        <v>-448.2</v>
      </c>
    </row>
    <row r="527" spans="1:21" x14ac:dyDescent="0.35">
      <c r="A527" t="s">
        <v>2626</v>
      </c>
      <c r="B527" s="2">
        <v>43581</v>
      </c>
      <c r="C527" s="2" t="str">
        <f t="shared" si="16"/>
        <v>April</v>
      </c>
      <c r="D527" s="2" t="str">
        <f t="shared" si="17"/>
        <v>2019</v>
      </c>
      <c r="E527" s="2">
        <v>43621</v>
      </c>
      <c r="F527" t="s">
        <v>52</v>
      </c>
      <c r="G527" t="s">
        <v>2627</v>
      </c>
      <c r="H527" t="s">
        <v>2628</v>
      </c>
      <c r="I527" t="s">
        <v>55</v>
      </c>
      <c r="J527" t="s">
        <v>24</v>
      </c>
      <c r="K527" t="s">
        <v>25</v>
      </c>
      <c r="L527" t="s">
        <v>170</v>
      </c>
      <c r="M527" t="s">
        <v>27</v>
      </c>
      <c r="N527" t="s">
        <v>2629</v>
      </c>
      <c r="O527" t="s">
        <v>29</v>
      </c>
      <c r="P527" t="s">
        <v>30</v>
      </c>
      <c r="Q527" t="s">
        <v>917</v>
      </c>
      <c r="R527">
        <v>1314.15</v>
      </c>
      <c r="S527">
        <v>10</v>
      </c>
      <c r="T527">
        <v>0.3</v>
      </c>
      <c r="U527">
        <v>-54.27</v>
      </c>
    </row>
    <row r="528" spans="1:21" x14ac:dyDescent="0.35">
      <c r="A528" t="s">
        <v>2630</v>
      </c>
      <c r="B528" s="2">
        <v>43683</v>
      </c>
      <c r="C528" s="2" t="str">
        <f t="shared" si="16"/>
        <v>August</v>
      </c>
      <c r="D528" s="2" t="str">
        <f t="shared" si="17"/>
        <v>2019</v>
      </c>
      <c r="E528" s="2">
        <v>43654</v>
      </c>
      <c r="F528" t="s">
        <v>52</v>
      </c>
      <c r="G528" t="s">
        <v>2631</v>
      </c>
      <c r="H528" t="s">
        <v>2632</v>
      </c>
      <c r="I528" t="s">
        <v>55</v>
      </c>
      <c r="J528" t="s">
        <v>24</v>
      </c>
      <c r="K528" t="s">
        <v>81</v>
      </c>
      <c r="L528" t="s">
        <v>170</v>
      </c>
      <c r="M528" t="s">
        <v>83</v>
      </c>
      <c r="N528" t="s">
        <v>2633</v>
      </c>
      <c r="O528" t="s">
        <v>29</v>
      </c>
      <c r="P528" t="s">
        <v>30</v>
      </c>
      <c r="Q528" t="s">
        <v>2634</v>
      </c>
      <c r="R528">
        <v>645.21</v>
      </c>
      <c r="S528">
        <v>5</v>
      </c>
      <c r="T528">
        <v>0</v>
      </c>
      <c r="U528">
        <v>-45.86</v>
      </c>
    </row>
    <row r="529" spans="1:21" x14ac:dyDescent="0.35">
      <c r="A529" t="s">
        <v>2635</v>
      </c>
      <c r="B529" s="2">
        <v>43261</v>
      </c>
      <c r="C529" s="2" t="str">
        <f t="shared" si="16"/>
        <v>June</v>
      </c>
      <c r="D529" s="2" t="str">
        <f t="shared" si="17"/>
        <v>2018</v>
      </c>
      <c r="E529" s="2" t="s">
        <v>5975</v>
      </c>
      <c r="F529" t="s">
        <v>20</v>
      </c>
      <c r="G529" t="s">
        <v>2636</v>
      </c>
      <c r="H529" t="s">
        <v>2637</v>
      </c>
      <c r="I529" t="s">
        <v>23</v>
      </c>
      <c r="J529" t="s">
        <v>24</v>
      </c>
      <c r="K529" t="s">
        <v>81</v>
      </c>
      <c r="L529" t="s">
        <v>26</v>
      </c>
      <c r="M529" t="s">
        <v>57</v>
      </c>
      <c r="N529" t="s">
        <v>2638</v>
      </c>
      <c r="O529" t="s">
        <v>67</v>
      </c>
      <c r="P529" t="s">
        <v>92</v>
      </c>
      <c r="Q529" t="s">
        <v>2639</v>
      </c>
      <c r="R529">
        <v>1541.66</v>
      </c>
      <c r="S529">
        <v>8</v>
      </c>
      <c r="T529">
        <v>0</v>
      </c>
      <c r="U529">
        <v>669.66</v>
      </c>
    </row>
    <row r="530" spans="1:21" x14ac:dyDescent="0.35">
      <c r="A530" t="s">
        <v>2640</v>
      </c>
      <c r="B530" s="2">
        <v>42457</v>
      </c>
      <c r="C530" s="2" t="str">
        <f t="shared" si="16"/>
        <v>March</v>
      </c>
      <c r="D530" s="2" t="str">
        <f t="shared" si="17"/>
        <v>2016</v>
      </c>
      <c r="E530" s="2">
        <v>42404</v>
      </c>
      <c r="F530" t="s">
        <v>20</v>
      </c>
      <c r="G530" t="s">
        <v>2641</v>
      </c>
      <c r="H530" t="s">
        <v>2642</v>
      </c>
      <c r="I530" t="s">
        <v>55</v>
      </c>
      <c r="J530" t="s">
        <v>24</v>
      </c>
      <c r="K530" t="s">
        <v>36</v>
      </c>
      <c r="L530" t="s">
        <v>36</v>
      </c>
      <c r="M530" t="s">
        <v>83</v>
      </c>
      <c r="N530" t="s">
        <v>2643</v>
      </c>
      <c r="O530" t="s">
        <v>48</v>
      </c>
      <c r="P530" t="s">
        <v>49</v>
      </c>
      <c r="Q530" t="s">
        <v>2644</v>
      </c>
      <c r="R530">
        <v>207.93</v>
      </c>
      <c r="S530">
        <v>4</v>
      </c>
      <c r="T530">
        <v>0.1</v>
      </c>
      <c r="U530">
        <v>15.92</v>
      </c>
    </row>
    <row r="531" spans="1:21" x14ac:dyDescent="0.35">
      <c r="A531" t="s">
        <v>2645</v>
      </c>
      <c r="B531" s="2">
        <v>42691</v>
      </c>
      <c r="C531" s="2" t="str">
        <f t="shared" si="16"/>
        <v>November</v>
      </c>
      <c r="D531" s="2" t="str">
        <f t="shared" si="17"/>
        <v>2016</v>
      </c>
      <c r="E531" s="2" t="s">
        <v>6304</v>
      </c>
      <c r="F531" t="s">
        <v>62</v>
      </c>
      <c r="G531" t="s">
        <v>2646</v>
      </c>
      <c r="H531" t="s">
        <v>2647</v>
      </c>
      <c r="I531" t="s">
        <v>23</v>
      </c>
      <c r="J531" t="s">
        <v>24</v>
      </c>
      <c r="K531" t="s">
        <v>133</v>
      </c>
      <c r="L531" t="s">
        <v>65</v>
      </c>
      <c r="M531" t="s">
        <v>57</v>
      </c>
      <c r="N531" t="s">
        <v>2648</v>
      </c>
      <c r="O531" t="s">
        <v>29</v>
      </c>
      <c r="P531" t="s">
        <v>155</v>
      </c>
      <c r="Q531" t="s">
        <v>2649</v>
      </c>
      <c r="R531">
        <v>1702.1</v>
      </c>
      <c r="S531">
        <v>10</v>
      </c>
      <c r="T531">
        <v>0</v>
      </c>
      <c r="U531">
        <v>-42.14</v>
      </c>
    </row>
    <row r="532" spans="1:21" x14ac:dyDescent="0.35">
      <c r="A532" t="s">
        <v>2650</v>
      </c>
      <c r="B532" s="2">
        <v>43166</v>
      </c>
      <c r="C532" s="2" t="str">
        <f t="shared" si="16"/>
        <v>March</v>
      </c>
      <c r="D532" s="2" t="str">
        <f t="shared" si="17"/>
        <v>2018</v>
      </c>
      <c r="E532" s="2">
        <v>43407</v>
      </c>
      <c r="F532" t="s">
        <v>20</v>
      </c>
      <c r="G532" t="s">
        <v>2651</v>
      </c>
      <c r="H532" t="s">
        <v>1695</v>
      </c>
      <c r="I532" t="s">
        <v>35</v>
      </c>
      <c r="J532" t="s">
        <v>24</v>
      </c>
      <c r="K532" t="s">
        <v>89</v>
      </c>
      <c r="L532" t="s">
        <v>90</v>
      </c>
      <c r="M532" t="s">
        <v>74</v>
      </c>
      <c r="N532" t="s">
        <v>2652</v>
      </c>
      <c r="O532" t="s">
        <v>29</v>
      </c>
      <c r="P532" t="s">
        <v>39</v>
      </c>
      <c r="Q532" t="s">
        <v>2653</v>
      </c>
      <c r="R532">
        <v>1283.94</v>
      </c>
      <c r="S532">
        <v>4</v>
      </c>
      <c r="T532">
        <v>0</v>
      </c>
      <c r="U532">
        <v>552.20000000000005</v>
      </c>
    </row>
    <row r="533" spans="1:21" x14ac:dyDescent="0.35">
      <c r="A533" t="s">
        <v>2654</v>
      </c>
      <c r="B533" s="2">
        <v>42658</v>
      </c>
      <c r="C533" s="2" t="str">
        <f t="shared" si="16"/>
        <v>October</v>
      </c>
      <c r="D533" s="2" t="str">
        <f t="shared" si="17"/>
        <v>2016</v>
      </c>
      <c r="E533" s="2" t="s">
        <v>6017</v>
      </c>
      <c r="F533" t="s">
        <v>20</v>
      </c>
      <c r="G533" t="s">
        <v>2655</v>
      </c>
      <c r="H533" t="s">
        <v>2656</v>
      </c>
      <c r="I533" t="s">
        <v>35</v>
      </c>
      <c r="J533" t="s">
        <v>24</v>
      </c>
      <c r="K533" t="s">
        <v>25</v>
      </c>
      <c r="L533" t="s">
        <v>82</v>
      </c>
      <c r="M533" t="s">
        <v>57</v>
      </c>
      <c r="N533" t="s">
        <v>2657</v>
      </c>
      <c r="O533" t="s">
        <v>29</v>
      </c>
      <c r="P533" t="s">
        <v>39</v>
      </c>
      <c r="Q533" t="s">
        <v>2658</v>
      </c>
      <c r="R533">
        <v>1370.32</v>
      </c>
      <c r="S533">
        <v>8</v>
      </c>
      <c r="T533">
        <v>0.1</v>
      </c>
      <c r="U533">
        <v>399.58</v>
      </c>
    </row>
    <row r="534" spans="1:21" x14ac:dyDescent="0.35">
      <c r="A534" t="s">
        <v>2659</v>
      </c>
      <c r="B534" s="2">
        <v>42564</v>
      </c>
      <c r="C534" s="2" t="str">
        <f t="shared" si="16"/>
        <v>July</v>
      </c>
      <c r="D534" s="2" t="str">
        <f t="shared" si="17"/>
        <v>2016</v>
      </c>
      <c r="E534" s="2" t="s">
        <v>5990</v>
      </c>
      <c r="F534" t="s">
        <v>42</v>
      </c>
      <c r="G534" t="s">
        <v>2660</v>
      </c>
      <c r="H534" t="s">
        <v>2661</v>
      </c>
      <c r="I534" t="s">
        <v>35</v>
      </c>
      <c r="J534" t="s">
        <v>24</v>
      </c>
      <c r="K534" t="s">
        <v>212</v>
      </c>
      <c r="L534" t="s">
        <v>115</v>
      </c>
      <c r="M534" t="s">
        <v>74</v>
      </c>
      <c r="N534" t="s">
        <v>2662</v>
      </c>
      <c r="O534" t="s">
        <v>48</v>
      </c>
      <c r="P534" t="s">
        <v>59</v>
      </c>
      <c r="Q534" t="s">
        <v>2663</v>
      </c>
      <c r="R534">
        <v>658.63</v>
      </c>
      <c r="S534">
        <v>2</v>
      </c>
      <c r="T534">
        <v>0</v>
      </c>
      <c r="U534">
        <v>304.13</v>
      </c>
    </row>
    <row r="535" spans="1:21" x14ac:dyDescent="0.35">
      <c r="A535" t="s">
        <v>2664</v>
      </c>
      <c r="B535" s="2">
        <v>42762</v>
      </c>
      <c r="C535" s="2" t="str">
        <f t="shared" si="16"/>
        <v>January</v>
      </c>
      <c r="D535" s="2" t="str">
        <f t="shared" si="17"/>
        <v>2017</v>
      </c>
      <c r="E535" s="2">
        <v>42796</v>
      </c>
      <c r="F535" t="s">
        <v>62</v>
      </c>
      <c r="G535" t="s">
        <v>2665</v>
      </c>
      <c r="H535" t="s">
        <v>2666</v>
      </c>
      <c r="I535" t="s">
        <v>23</v>
      </c>
      <c r="J535" t="s">
        <v>24</v>
      </c>
      <c r="K535" t="s">
        <v>45</v>
      </c>
      <c r="L535" t="s">
        <v>90</v>
      </c>
      <c r="M535" t="s">
        <v>57</v>
      </c>
      <c r="N535" t="s">
        <v>2667</v>
      </c>
      <c r="O535" t="s">
        <v>67</v>
      </c>
      <c r="P535" t="s">
        <v>350</v>
      </c>
      <c r="Q535" t="s">
        <v>2668</v>
      </c>
      <c r="R535">
        <v>487.34</v>
      </c>
      <c r="S535">
        <v>7</v>
      </c>
      <c r="T535">
        <v>0</v>
      </c>
      <c r="U535">
        <v>206.37</v>
      </c>
    </row>
    <row r="536" spans="1:21" x14ac:dyDescent="0.35">
      <c r="A536" t="s">
        <v>2669</v>
      </c>
      <c r="B536" s="2">
        <v>43641</v>
      </c>
      <c r="C536" s="2" t="str">
        <f t="shared" si="16"/>
        <v>June</v>
      </c>
      <c r="D536" s="2" t="str">
        <f t="shared" si="17"/>
        <v>2019</v>
      </c>
      <c r="E536" s="2" t="s">
        <v>6305</v>
      </c>
      <c r="F536" t="s">
        <v>62</v>
      </c>
      <c r="G536" t="s">
        <v>2670</v>
      </c>
      <c r="H536" t="s">
        <v>2671</v>
      </c>
      <c r="I536" t="s">
        <v>55</v>
      </c>
      <c r="J536" t="s">
        <v>24</v>
      </c>
      <c r="K536" t="s">
        <v>103</v>
      </c>
      <c r="L536" t="s">
        <v>56</v>
      </c>
      <c r="M536" t="s">
        <v>57</v>
      </c>
      <c r="N536" t="s">
        <v>2672</v>
      </c>
      <c r="O536" t="s">
        <v>29</v>
      </c>
      <c r="P536" t="s">
        <v>39</v>
      </c>
      <c r="Q536" t="s">
        <v>2673</v>
      </c>
      <c r="R536">
        <v>855.18</v>
      </c>
      <c r="S536">
        <v>9</v>
      </c>
      <c r="T536">
        <v>0.2</v>
      </c>
      <c r="U536">
        <v>-143.74</v>
      </c>
    </row>
    <row r="537" spans="1:21" x14ac:dyDescent="0.35">
      <c r="A537" t="s">
        <v>2674</v>
      </c>
      <c r="B537" s="2">
        <v>42481</v>
      </c>
      <c r="C537" s="2" t="str">
        <f t="shared" si="16"/>
        <v>April</v>
      </c>
      <c r="D537" s="2" t="str">
        <f t="shared" si="17"/>
        <v>2016</v>
      </c>
      <c r="E537" s="2" t="s">
        <v>6213</v>
      </c>
      <c r="F537" t="s">
        <v>20</v>
      </c>
      <c r="G537" t="s">
        <v>2675</v>
      </c>
      <c r="H537" t="s">
        <v>1137</v>
      </c>
      <c r="I537" t="s">
        <v>35</v>
      </c>
      <c r="J537" t="s">
        <v>24</v>
      </c>
      <c r="K537" t="s">
        <v>97</v>
      </c>
      <c r="L537" t="s">
        <v>65</v>
      </c>
      <c r="M537" t="s">
        <v>83</v>
      </c>
      <c r="N537" t="s">
        <v>2676</v>
      </c>
      <c r="O537" t="s">
        <v>29</v>
      </c>
      <c r="P537" t="s">
        <v>30</v>
      </c>
      <c r="Q537" t="s">
        <v>2677</v>
      </c>
      <c r="R537">
        <v>63.73</v>
      </c>
      <c r="S537">
        <v>9</v>
      </c>
      <c r="T537">
        <v>0.2</v>
      </c>
      <c r="U537">
        <v>-3.22</v>
      </c>
    </row>
    <row r="538" spans="1:21" x14ac:dyDescent="0.35">
      <c r="A538" t="s">
        <v>2678</v>
      </c>
      <c r="B538" s="2">
        <v>42876</v>
      </c>
      <c r="C538" s="2" t="str">
        <f t="shared" si="16"/>
        <v>May</v>
      </c>
      <c r="D538" s="2" t="str">
        <f t="shared" si="17"/>
        <v>2017</v>
      </c>
      <c r="E538" s="2" t="s">
        <v>6306</v>
      </c>
      <c r="F538" t="s">
        <v>52</v>
      </c>
      <c r="G538" t="s">
        <v>2679</v>
      </c>
      <c r="H538" t="s">
        <v>2680</v>
      </c>
      <c r="I538" t="s">
        <v>55</v>
      </c>
      <c r="J538" t="s">
        <v>24</v>
      </c>
      <c r="K538" t="s">
        <v>73</v>
      </c>
      <c r="L538" t="s">
        <v>65</v>
      </c>
      <c r="M538" t="s">
        <v>27</v>
      </c>
      <c r="N538" t="s">
        <v>2681</v>
      </c>
      <c r="O538" t="s">
        <v>67</v>
      </c>
      <c r="P538" t="s">
        <v>229</v>
      </c>
      <c r="Q538" t="s">
        <v>2682</v>
      </c>
      <c r="R538">
        <v>683.97</v>
      </c>
      <c r="S538">
        <v>6</v>
      </c>
      <c r="T538">
        <v>0.1</v>
      </c>
      <c r="U538">
        <v>-113.87</v>
      </c>
    </row>
    <row r="539" spans="1:21" x14ac:dyDescent="0.35">
      <c r="A539" t="s">
        <v>2683</v>
      </c>
      <c r="B539" s="2">
        <v>43187</v>
      </c>
      <c r="C539" s="2" t="str">
        <f t="shared" si="16"/>
        <v>March</v>
      </c>
      <c r="D539" s="2" t="str">
        <f t="shared" si="17"/>
        <v>2018</v>
      </c>
      <c r="E539" s="2">
        <v>43224</v>
      </c>
      <c r="F539" t="s">
        <v>42</v>
      </c>
      <c r="G539" t="s">
        <v>2684</v>
      </c>
      <c r="H539" t="s">
        <v>2685</v>
      </c>
      <c r="I539" t="s">
        <v>35</v>
      </c>
      <c r="J539" t="s">
        <v>24</v>
      </c>
      <c r="K539" t="s">
        <v>36</v>
      </c>
      <c r="L539" t="s">
        <v>56</v>
      </c>
      <c r="M539" t="s">
        <v>27</v>
      </c>
      <c r="N539" t="s">
        <v>2686</v>
      </c>
      <c r="O539" t="s">
        <v>48</v>
      </c>
      <c r="P539" t="s">
        <v>76</v>
      </c>
      <c r="Q539" t="s">
        <v>2687</v>
      </c>
      <c r="R539">
        <v>1523.07</v>
      </c>
      <c r="S539">
        <v>10</v>
      </c>
      <c r="T539">
        <v>0.1</v>
      </c>
      <c r="U539">
        <v>743.58</v>
      </c>
    </row>
    <row r="540" spans="1:21" x14ac:dyDescent="0.35">
      <c r="A540" t="s">
        <v>2688</v>
      </c>
      <c r="B540" s="2">
        <v>43596</v>
      </c>
      <c r="C540" s="2" t="str">
        <f t="shared" si="16"/>
        <v>May</v>
      </c>
      <c r="D540" s="2" t="str">
        <f t="shared" si="17"/>
        <v>2019</v>
      </c>
      <c r="E540" s="2" t="s">
        <v>6295</v>
      </c>
      <c r="F540" t="s">
        <v>52</v>
      </c>
      <c r="G540" t="s">
        <v>2689</v>
      </c>
      <c r="H540" t="s">
        <v>2632</v>
      </c>
      <c r="I540" t="s">
        <v>35</v>
      </c>
      <c r="J540" t="s">
        <v>24</v>
      </c>
      <c r="K540" t="s">
        <v>73</v>
      </c>
      <c r="L540" t="s">
        <v>37</v>
      </c>
      <c r="M540" t="s">
        <v>57</v>
      </c>
      <c r="N540" t="s">
        <v>2690</v>
      </c>
      <c r="O540" t="s">
        <v>67</v>
      </c>
      <c r="P540" t="s">
        <v>229</v>
      </c>
      <c r="Q540" t="s">
        <v>2691</v>
      </c>
      <c r="R540">
        <v>1761.59</v>
      </c>
      <c r="S540">
        <v>10</v>
      </c>
      <c r="T540">
        <v>0</v>
      </c>
      <c r="U540">
        <v>-275.67</v>
      </c>
    </row>
    <row r="541" spans="1:21" x14ac:dyDescent="0.35">
      <c r="A541" t="s">
        <v>2692</v>
      </c>
      <c r="B541" s="2">
        <v>43732</v>
      </c>
      <c r="C541" s="2" t="str">
        <f t="shared" si="16"/>
        <v>September</v>
      </c>
      <c r="D541" s="2" t="str">
        <f t="shared" si="17"/>
        <v>2019</v>
      </c>
      <c r="E541" s="2" t="s">
        <v>6158</v>
      </c>
      <c r="F541" t="s">
        <v>20</v>
      </c>
      <c r="G541" t="s">
        <v>2693</v>
      </c>
      <c r="H541" t="s">
        <v>2694</v>
      </c>
      <c r="I541" t="s">
        <v>23</v>
      </c>
      <c r="J541" t="s">
        <v>24</v>
      </c>
      <c r="K541" t="s">
        <v>36</v>
      </c>
      <c r="L541" t="s">
        <v>82</v>
      </c>
      <c r="M541" t="s">
        <v>57</v>
      </c>
      <c r="N541" t="s">
        <v>2695</v>
      </c>
      <c r="O541" t="s">
        <v>67</v>
      </c>
      <c r="P541" t="s">
        <v>229</v>
      </c>
      <c r="Q541" t="s">
        <v>2696</v>
      </c>
      <c r="R541">
        <v>1927.36</v>
      </c>
      <c r="S541">
        <v>8</v>
      </c>
      <c r="T541">
        <v>0.1</v>
      </c>
      <c r="U541">
        <v>583.20000000000005</v>
      </c>
    </row>
    <row r="542" spans="1:21" x14ac:dyDescent="0.35">
      <c r="A542" t="s">
        <v>2697</v>
      </c>
      <c r="B542" s="2">
        <v>43423</v>
      </c>
      <c r="C542" s="2" t="str">
        <f t="shared" si="16"/>
        <v>November</v>
      </c>
      <c r="D542" s="2" t="str">
        <f t="shared" si="17"/>
        <v>2018</v>
      </c>
      <c r="E542" s="2" t="s">
        <v>5945</v>
      </c>
      <c r="F542" t="s">
        <v>62</v>
      </c>
      <c r="G542" t="s">
        <v>2698</v>
      </c>
      <c r="H542" t="s">
        <v>2699</v>
      </c>
      <c r="I542" t="s">
        <v>23</v>
      </c>
      <c r="J542" t="s">
        <v>24</v>
      </c>
      <c r="K542" t="s">
        <v>45</v>
      </c>
      <c r="L542" t="s">
        <v>37</v>
      </c>
      <c r="M542" t="s">
        <v>83</v>
      </c>
      <c r="N542" t="s">
        <v>2700</v>
      </c>
      <c r="O542" t="s">
        <v>48</v>
      </c>
      <c r="P542" t="s">
        <v>49</v>
      </c>
      <c r="Q542" t="s">
        <v>2701</v>
      </c>
      <c r="R542">
        <v>1400.83</v>
      </c>
      <c r="S542">
        <v>1</v>
      </c>
      <c r="T542">
        <v>0.3</v>
      </c>
      <c r="U542">
        <v>422.08</v>
      </c>
    </row>
    <row r="543" spans="1:21" x14ac:dyDescent="0.35">
      <c r="A543" t="s">
        <v>2702</v>
      </c>
      <c r="B543" s="2">
        <v>43761</v>
      </c>
      <c r="C543" s="2" t="str">
        <f t="shared" si="16"/>
        <v>October</v>
      </c>
      <c r="D543" s="2" t="str">
        <f t="shared" si="17"/>
        <v>2019</v>
      </c>
      <c r="E543" s="2" t="s">
        <v>6307</v>
      </c>
      <c r="F543" t="s">
        <v>42</v>
      </c>
      <c r="G543" t="s">
        <v>2703</v>
      </c>
      <c r="H543" t="s">
        <v>2704</v>
      </c>
      <c r="I543" t="s">
        <v>23</v>
      </c>
      <c r="J543" t="s">
        <v>24</v>
      </c>
      <c r="K543" t="s">
        <v>133</v>
      </c>
      <c r="L543" t="s">
        <v>36</v>
      </c>
      <c r="M543" t="s">
        <v>83</v>
      </c>
      <c r="N543" t="s">
        <v>2705</v>
      </c>
      <c r="O543" t="s">
        <v>67</v>
      </c>
      <c r="P543" t="s">
        <v>350</v>
      </c>
      <c r="Q543" t="s">
        <v>2706</v>
      </c>
      <c r="R543">
        <v>574.96</v>
      </c>
      <c r="S543">
        <v>9</v>
      </c>
      <c r="T543">
        <v>0</v>
      </c>
      <c r="U543">
        <v>-47.76</v>
      </c>
    </row>
    <row r="544" spans="1:21" x14ac:dyDescent="0.35">
      <c r="A544" t="s">
        <v>2707</v>
      </c>
      <c r="B544" s="2">
        <v>43413</v>
      </c>
      <c r="C544" s="2" t="str">
        <f t="shared" si="16"/>
        <v>November</v>
      </c>
      <c r="D544" s="2" t="str">
        <f t="shared" si="17"/>
        <v>2018</v>
      </c>
      <c r="E544" s="2" t="s">
        <v>6308</v>
      </c>
      <c r="F544" t="s">
        <v>20</v>
      </c>
      <c r="G544" t="s">
        <v>2708</v>
      </c>
      <c r="H544" t="s">
        <v>2709</v>
      </c>
      <c r="I544" t="s">
        <v>55</v>
      </c>
      <c r="J544" t="s">
        <v>24</v>
      </c>
      <c r="K544" t="s">
        <v>89</v>
      </c>
      <c r="L544" t="s">
        <v>37</v>
      </c>
      <c r="M544" t="s">
        <v>57</v>
      </c>
      <c r="N544" t="s">
        <v>2710</v>
      </c>
      <c r="O544" t="s">
        <v>67</v>
      </c>
      <c r="P544" t="s">
        <v>197</v>
      </c>
      <c r="Q544" t="s">
        <v>2711</v>
      </c>
      <c r="R544">
        <v>1654.56</v>
      </c>
      <c r="S544">
        <v>7</v>
      </c>
      <c r="T544">
        <v>0</v>
      </c>
      <c r="U544">
        <v>379.18</v>
      </c>
    </row>
    <row r="545" spans="1:21" x14ac:dyDescent="0.35">
      <c r="A545" t="s">
        <v>2712</v>
      </c>
      <c r="B545" s="2">
        <v>42633</v>
      </c>
      <c r="C545" s="2" t="str">
        <f t="shared" si="16"/>
        <v>September</v>
      </c>
      <c r="D545" s="2" t="str">
        <f t="shared" si="17"/>
        <v>2016</v>
      </c>
      <c r="E545" s="2" t="s">
        <v>6011</v>
      </c>
      <c r="F545" t="s">
        <v>42</v>
      </c>
      <c r="G545" t="s">
        <v>2713</v>
      </c>
      <c r="H545" t="s">
        <v>1788</v>
      </c>
      <c r="I545" t="s">
        <v>23</v>
      </c>
      <c r="J545" t="s">
        <v>24</v>
      </c>
      <c r="K545" t="s">
        <v>36</v>
      </c>
      <c r="L545" t="s">
        <v>26</v>
      </c>
      <c r="M545" t="s">
        <v>57</v>
      </c>
      <c r="N545" t="s">
        <v>2714</v>
      </c>
      <c r="O545" t="s">
        <v>67</v>
      </c>
      <c r="P545" t="s">
        <v>68</v>
      </c>
      <c r="Q545" t="s">
        <v>1725</v>
      </c>
      <c r="R545">
        <v>497.65</v>
      </c>
      <c r="S545">
        <v>7</v>
      </c>
      <c r="T545">
        <v>0.4</v>
      </c>
      <c r="U545">
        <v>7.07</v>
      </c>
    </row>
    <row r="546" spans="1:21" x14ac:dyDescent="0.35">
      <c r="A546" t="s">
        <v>2715</v>
      </c>
      <c r="B546" s="2">
        <v>43142</v>
      </c>
      <c r="C546" s="2" t="str">
        <f t="shared" si="16"/>
        <v>February</v>
      </c>
      <c r="D546" s="2" t="str">
        <f t="shared" si="17"/>
        <v>2018</v>
      </c>
      <c r="E546" s="2" t="s">
        <v>6169</v>
      </c>
      <c r="F546" t="s">
        <v>62</v>
      </c>
      <c r="G546" t="s">
        <v>2588</v>
      </c>
      <c r="H546" t="s">
        <v>2716</v>
      </c>
      <c r="I546" t="s">
        <v>55</v>
      </c>
      <c r="J546" t="s">
        <v>24</v>
      </c>
      <c r="K546" t="s">
        <v>36</v>
      </c>
      <c r="L546" t="s">
        <v>46</v>
      </c>
      <c r="M546" t="s">
        <v>57</v>
      </c>
      <c r="N546" t="s">
        <v>2717</v>
      </c>
      <c r="O546" t="s">
        <v>67</v>
      </c>
      <c r="P546" t="s">
        <v>197</v>
      </c>
      <c r="Q546" t="s">
        <v>2718</v>
      </c>
      <c r="R546">
        <v>309.54000000000002</v>
      </c>
      <c r="S546">
        <v>4</v>
      </c>
      <c r="T546">
        <v>0.4</v>
      </c>
      <c r="U546">
        <v>-32.380000000000003</v>
      </c>
    </row>
    <row r="547" spans="1:21" x14ac:dyDescent="0.35">
      <c r="A547" t="s">
        <v>2719</v>
      </c>
      <c r="B547" s="2">
        <v>43651</v>
      </c>
      <c r="C547" s="2" t="str">
        <f t="shared" si="16"/>
        <v>July</v>
      </c>
      <c r="D547" s="2" t="str">
        <f t="shared" si="17"/>
        <v>2019</v>
      </c>
      <c r="E547" s="2" t="s">
        <v>6309</v>
      </c>
      <c r="F547" t="s">
        <v>52</v>
      </c>
      <c r="G547" t="s">
        <v>2720</v>
      </c>
      <c r="H547" t="s">
        <v>1058</v>
      </c>
      <c r="I547" t="s">
        <v>23</v>
      </c>
      <c r="J547" t="s">
        <v>24</v>
      </c>
      <c r="K547" t="s">
        <v>36</v>
      </c>
      <c r="L547" t="s">
        <v>115</v>
      </c>
      <c r="M547" t="s">
        <v>27</v>
      </c>
      <c r="N547" t="s">
        <v>2721</v>
      </c>
      <c r="O547" t="s">
        <v>67</v>
      </c>
      <c r="P547" t="s">
        <v>92</v>
      </c>
      <c r="Q547" t="s">
        <v>2722</v>
      </c>
      <c r="R547">
        <v>1188.9100000000001</v>
      </c>
      <c r="S547">
        <v>2</v>
      </c>
      <c r="T547">
        <v>0.2</v>
      </c>
      <c r="U547">
        <v>359.07</v>
      </c>
    </row>
    <row r="548" spans="1:21" x14ac:dyDescent="0.35">
      <c r="A548" t="s">
        <v>2723</v>
      </c>
      <c r="B548" s="2">
        <v>43030</v>
      </c>
      <c r="C548" s="2" t="str">
        <f t="shared" si="16"/>
        <v>October</v>
      </c>
      <c r="D548" s="2" t="str">
        <f t="shared" si="17"/>
        <v>2017</v>
      </c>
      <c r="E548" s="2" t="s">
        <v>5906</v>
      </c>
      <c r="F548" t="s">
        <v>62</v>
      </c>
      <c r="G548" t="s">
        <v>2724</v>
      </c>
      <c r="H548" t="s">
        <v>2725</v>
      </c>
      <c r="I548" t="s">
        <v>55</v>
      </c>
      <c r="J548" t="s">
        <v>24</v>
      </c>
      <c r="K548" t="s">
        <v>89</v>
      </c>
      <c r="L548" t="s">
        <v>56</v>
      </c>
      <c r="M548" t="s">
        <v>74</v>
      </c>
      <c r="N548" t="s">
        <v>2726</v>
      </c>
      <c r="O548" t="s">
        <v>48</v>
      </c>
      <c r="P548" t="s">
        <v>59</v>
      </c>
      <c r="Q548" t="s">
        <v>2727</v>
      </c>
      <c r="R548">
        <v>1751.27</v>
      </c>
      <c r="S548">
        <v>7</v>
      </c>
      <c r="T548">
        <v>0.1</v>
      </c>
      <c r="U548">
        <v>672.22</v>
      </c>
    </row>
    <row r="549" spans="1:21" x14ac:dyDescent="0.35">
      <c r="A549" t="s">
        <v>2728</v>
      </c>
      <c r="B549" s="2">
        <v>42901</v>
      </c>
      <c r="C549" s="2" t="str">
        <f t="shared" si="16"/>
        <v>June</v>
      </c>
      <c r="D549" s="2" t="str">
        <f t="shared" si="17"/>
        <v>2017</v>
      </c>
      <c r="E549" s="2" t="s">
        <v>6032</v>
      </c>
      <c r="F549" t="s">
        <v>42</v>
      </c>
      <c r="G549" t="s">
        <v>2729</v>
      </c>
      <c r="H549" t="s">
        <v>2730</v>
      </c>
      <c r="I549" t="s">
        <v>23</v>
      </c>
      <c r="J549" t="s">
        <v>24</v>
      </c>
      <c r="K549" t="s">
        <v>103</v>
      </c>
      <c r="L549" t="s">
        <v>90</v>
      </c>
      <c r="M549" t="s">
        <v>27</v>
      </c>
      <c r="N549" t="s">
        <v>2731</v>
      </c>
      <c r="O549" t="s">
        <v>29</v>
      </c>
      <c r="P549" t="s">
        <v>110</v>
      </c>
      <c r="Q549" t="s">
        <v>2732</v>
      </c>
      <c r="R549">
        <v>1456.89</v>
      </c>
      <c r="S549">
        <v>6</v>
      </c>
      <c r="T549">
        <v>0.3</v>
      </c>
      <c r="U549">
        <v>-77.09</v>
      </c>
    </row>
    <row r="550" spans="1:21" x14ac:dyDescent="0.35">
      <c r="A550" t="s">
        <v>2733</v>
      </c>
      <c r="B550" s="2">
        <v>43275</v>
      </c>
      <c r="C550" s="2" t="str">
        <f t="shared" si="16"/>
        <v>June</v>
      </c>
      <c r="D550" s="2" t="str">
        <f t="shared" si="17"/>
        <v>2018</v>
      </c>
      <c r="E550" s="2" t="s">
        <v>6040</v>
      </c>
      <c r="F550" t="s">
        <v>42</v>
      </c>
      <c r="G550" t="s">
        <v>2734</v>
      </c>
      <c r="H550" t="s">
        <v>2735</v>
      </c>
      <c r="I550" t="s">
        <v>35</v>
      </c>
      <c r="J550" t="s">
        <v>24</v>
      </c>
      <c r="K550" t="s">
        <v>212</v>
      </c>
      <c r="L550" t="s">
        <v>170</v>
      </c>
      <c r="M550" t="s">
        <v>27</v>
      </c>
      <c r="N550" t="s">
        <v>2736</v>
      </c>
      <c r="O550" t="s">
        <v>67</v>
      </c>
      <c r="P550" t="s">
        <v>68</v>
      </c>
      <c r="Q550" t="s">
        <v>2737</v>
      </c>
      <c r="R550">
        <v>944.62</v>
      </c>
      <c r="S550">
        <v>10</v>
      </c>
      <c r="T550">
        <v>0</v>
      </c>
      <c r="U550">
        <v>27.58</v>
      </c>
    </row>
    <row r="551" spans="1:21" x14ac:dyDescent="0.35">
      <c r="A551" t="s">
        <v>2738</v>
      </c>
      <c r="B551" s="2">
        <v>43237</v>
      </c>
      <c r="C551" s="2" t="str">
        <f t="shared" si="16"/>
        <v>May</v>
      </c>
      <c r="D551" s="2" t="str">
        <f t="shared" si="17"/>
        <v>2018</v>
      </c>
      <c r="E551" s="2" t="s">
        <v>5999</v>
      </c>
      <c r="F551" t="s">
        <v>62</v>
      </c>
      <c r="G551" t="s">
        <v>2739</v>
      </c>
      <c r="H551" t="s">
        <v>2740</v>
      </c>
      <c r="I551" t="s">
        <v>23</v>
      </c>
      <c r="J551" t="s">
        <v>24</v>
      </c>
      <c r="K551" t="s">
        <v>89</v>
      </c>
      <c r="L551" t="s">
        <v>90</v>
      </c>
      <c r="M551" t="s">
        <v>74</v>
      </c>
      <c r="N551" t="s">
        <v>2741</v>
      </c>
      <c r="O551" t="s">
        <v>48</v>
      </c>
      <c r="P551" t="s">
        <v>128</v>
      </c>
      <c r="Q551" t="s">
        <v>2318</v>
      </c>
      <c r="R551">
        <v>1201.57</v>
      </c>
      <c r="S551">
        <v>9</v>
      </c>
      <c r="T551">
        <v>0</v>
      </c>
      <c r="U551">
        <v>195.81</v>
      </c>
    </row>
    <row r="552" spans="1:21" x14ac:dyDescent="0.35">
      <c r="A552" t="s">
        <v>2742</v>
      </c>
      <c r="B552" s="2">
        <v>42843</v>
      </c>
      <c r="C552" s="2" t="str">
        <f t="shared" si="16"/>
        <v>April</v>
      </c>
      <c r="D552" s="2" t="str">
        <f t="shared" si="17"/>
        <v>2017</v>
      </c>
      <c r="E552" s="2" t="s">
        <v>6109</v>
      </c>
      <c r="F552" t="s">
        <v>20</v>
      </c>
      <c r="G552" t="s">
        <v>2743</v>
      </c>
      <c r="H552" t="s">
        <v>2744</v>
      </c>
      <c r="I552" t="s">
        <v>23</v>
      </c>
      <c r="J552" t="s">
        <v>24</v>
      </c>
      <c r="K552" t="s">
        <v>212</v>
      </c>
      <c r="L552" t="s">
        <v>65</v>
      </c>
      <c r="M552" t="s">
        <v>27</v>
      </c>
      <c r="N552" t="s">
        <v>2745</v>
      </c>
      <c r="O552" t="s">
        <v>48</v>
      </c>
      <c r="P552" t="s">
        <v>49</v>
      </c>
      <c r="Q552" t="s">
        <v>823</v>
      </c>
      <c r="R552">
        <v>1620.7</v>
      </c>
      <c r="S552">
        <v>7</v>
      </c>
      <c r="T552">
        <v>0.4</v>
      </c>
      <c r="U552">
        <v>239.58</v>
      </c>
    </row>
    <row r="553" spans="1:21" x14ac:dyDescent="0.35">
      <c r="A553" t="s">
        <v>2746</v>
      </c>
      <c r="B553" s="2">
        <v>42559</v>
      </c>
      <c r="C553" s="2" t="str">
        <f t="shared" si="16"/>
        <v>July</v>
      </c>
      <c r="D553" s="2" t="str">
        <f t="shared" si="17"/>
        <v>2016</v>
      </c>
      <c r="E553" s="2">
        <v>42681</v>
      </c>
      <c r="F553" t="s">
        <v>52</v>
      </c>
      <c r="G553" t="s">
        <v>2747</v>
      </c>
      <c r="H553" t="s">
        <v>2748</v>
      </c>
      <c r="I553" t="s">
        <v>55</v>
      </c>
      <c r="J553" t="s">
        <v>24</v>
      </c>
      <c r="K553" t="s">
        <v>133</v>
      </c>
      <c r="L553" t="s">
        <v>26</v>
      </c>
      <c r="M553" t="s">
        <v>57</v>
      </c>
      <c r="N553" t="s">
        <v>2749</v>
      </c>
      <c r="O553" t="s">
        <v>48</v>
      </c>
      <c r="P553" t="s">
        <v>59</v>
      </c>
      <c r="Q553" t="s">
        <v>2750</v>
      </c>
      <c r="R553">
        <v>689.47</v>
      </c>
      <c r="S553">
        <v>8</v>
      </c>
      <c r="T553">
        <v>0</v>
      </c>
      <c r="U553">
        <v>105.98</v>
      </c>
    </row>
    <row r="554" spans="1:21" x14ac:dyDescent="0.35">
      <c r="A554" t="s">
        <v>2751</v>
      </c>
      <c r="B554" s="2">
        <v>43830</v>
      </c>
      <c r="C554" s="2" t="str">
        <f t="shared" si="16"/>
        <v>December</v>
      </c>
      <c r="D554" s="2" t="str">
        <f t="shared" si="17"/>
        <v>2019</v>
      </c>
      <c r="E554" s="2">
        <v>44044</v>
      </c>
      <c r="F554" t="s">
        <v>52</v>
      </c>
      <c r="G554" t="s">
        <v>2752</v>
      </c>
      <c r="H554" t="s">
        <v>2753</v>
      </c>
      <c r="I554" t="s">
        <v>23</v>
      </c>
      <c r="J554" t="s">
        <v>24</v>
      </c>
      <c r="K554" t="s">
        <v>89</v>
      </c>
      <c r="L554" t="s">
        <v>170</v>
      </c>
      <c r="M554" t="s">
        <v>57</v>
      </c>
      <c r="N554" t="s">
        <v>2754</v>
      </c>
      <c r="O554" t="s">
        <v>67</v>
      </c>
      <c r="P554" t="s">
        <v>117</v>
      </c>
      <c r="Q554" t="s">
        <v>2755</v>
      </c>
      <c r="R554">
        <v>1890.48</v>
      </c>
      <c r="S554">
        <v>9</v>
      </c>
      <c r="T554">
        <v>0.3</v>
      </c>
      <c r="U554">
        <v>780.85</v>
      </c>
    </row>
    <row r="555" spans="1:21" x14ac:dyDescent="0.35">
      <c r="A555" t="s">
        <v>2756</v>
      </c>
      <c r="B555" s="2">
        <v>43190</v>
      </c>
      <c r="C555" s="2" t="str">
        <f t="shared" si="16"/>
        <v>March</v>
      </c>
      <c r="D555" s="2" t="str">
        <f t="shared" si="17"/>
        <v>2018</v>
      </c>
      <c r="E555" s="2">
        <v>43347</v>
      </c>
      <c r="F555" t="s">
        <v>20</v>
      </c>
      <c r="G555" t="s">
        <v>2757</v>
      </c>
      <c r="H555" t="s">
        <v>2758</v>
      </c>
      <c r="I555" t="s">
        <v>55</v>
      </c>
      <c r="J555" t="s">
        <v>24</v>
      </c>
      <c r="K555" t="s">
        <v>97</v>
      </c>
      <c r="L555" t="s">
        <v>26</v>
      </c>
      <c r="M555" t="s">
        <v>74</v>
      </c>
      <c r="N555" t="s">
        <v>2759</v>
      </c>
      <c r="O555" t="s">
        <v>48</v>
      </c>
      <c r="P555" t="s">
        <v>76</v>
      </c>
      <c r="Q555" t="s">
        <v>2760</v>
      </c>
      <c r="R555">
        <v>1158.5999999999999</v>
      </c>
      <c r="S555">
        <v>1</v>
      </c>
      <c r="T555">
        <v>0</v>
      </c>
      <c r="U555">
        <v>542.98</v>
      </c>
    </row>
    <row r="556" spans="1:21" x14ac:dyDescent="0.35">
      <c r="A556" t="s">
        <v>2761</v>
      </c>
      <c r="B556" s="2">
        <v>43304</v>
      </c>
      <c r="C556" s="2" t="str">
        <f t="shared" si="16"/>
        <v>July</v>
      </c>
      <c r="D556" s="2" t="str">
        <f t="shared" si="17"/>
        <v>2018</v>
      </c>
      <c r="E556" s="2" t="s">
        <v>6223</v>
      </c>
      <c r="F556" t="s">
        <v>42</v>
      </c>
      <c r="G556" t="s">
        <v>2762</v>
      </c>
      <c r="H556" t="s">
        <v>2763</v>
      </c>
      <c r="I556" t="s">
        <v>23</v>
      </c>
      <c r="J556" t="s">
        <v>24</v>
      </c>
      <c r="K556" t="s">
        <v>73</v>
      </c>
      <c r="L556" t="s">
        <v>37</v>
      </c>
      <c r="M556" t="s">
        <v>27</v>
      </c>
      <c r="N556" t="s">
        <v>2764</v>
      </c>
      <c r="O556" t="s">
        <v>29</v>
      </c>
      <c r="P556" t="s">
        <v>30</v>
      </c>
      <c r="Q556" t="s">
        <v>2765</v>
      </c>
      <c r="R556">
        <v>1758.76</v>
      </c>
      <c r="S556">
        <v>7</v>
      </c>
      <c r="T556">
        <v>0.3</v>
      </c>
      <c r="U556">
        <v>785.34</v>
      </c>
    </row>
    <row r="557" spans="1:21" x14ac:dyDescent="0.35">
      <c r="A557" t="s">
        <v>2766</v>
      </c>
      <c r="B557" s="2">
        <v>43139</v>
      </c>
      <c r="C557" s="2" t="str">
        <f t="shared" si="16"/>
        <v>February</v>
      </c>
      <c r="D557" s="2" t="str">
        <f t="shared" si="17"/>
        <v>2018</v>
      </c>
      <c r="E557" s="2" t="s">
        <v>5997</v>
      </c>
      <c r="F557" t="s">
        <v>52</v>
      </c>
      <c r="G557" t="s">
        <v>2767</v>
      </c>
      <c r="H557" t="s">
        <v>2768</v>
      </c>
      <c r="I557" t="s">
        <v>35</v>
      </c>
      <c r="J557" t="s">
        <v>24</v>
      </c>
      <c r="K557" t="s">
        <v>103</v>
      </c>
      <c r="L557" t="s">
        <v>56</v>
      </c>
      <c r="M557" t="s">
        <v>27</v>
      </c>
      <c r="N557" t="s">
        <v>2769</v>
      </c>
      <c r="O557" t="s">
        <v>67</v>
      </c>
      <c r="P557" t="s">
        <v>117</v>
      </c>
      <c r="Q557" t="s">
        <v>2770</v>
      </c>
      <c r="R557">
        <v>1487.03</v>
      </c>
      <c r="S557">
        <v>8</v>
      </c>
      <c r="T557">
        <v>0.3</v>
      </c>
      <c r="U557">
        <v>387.12</v>
      </c>
    </row>
    <row r="558" spans="1:21" x14ac:dyDescent="0.35">
      <c r="A558" t="s">
        <v>2771</v>
      </c>
      <c r="B558" s="2">
        <v>43107</v>
      </c>
      <c r="C558" s="2" t="str">
        <f t="shared" si="16"/>
        <v>January</v>
      </c>
      <c r="D558" s="2" t="str">
        <f t="shared" si="17"/>
        <v>2018</v>
      </c>
      <c r="E558" s="2">
        <v>43405</v>
      </c>
      <c r="F558" t="s">
        <v>20</v>
      </c>
      <c r="G558" t="s">
        <v>2772</v>
      </c>
      <c r="H558" t="s">
        <v>2773</v>
      </c>
      <c r="I558" t="s">
        <v>23</v>
      </c>
      <c r="J558" t="s">
        <v>24</v>
      </c>
      <c r="K558" t="s">
        <v>97</v>
      </c>
      <c r="L558" t="s">
        <v>36</v>
      </c>
      <c r="M558" t="s">
        <v>74</v>
      </c>
      <c r="N558" t="s">
        <v>2774</v>
      </c>
      <c r="O558" t="s">
        <v>29</v>
      </c>
      <c r="P558" t="s">
        <v>39</v>
      </c>
      <c r="Q558" t="s">
        <v>2775</v>
      </c>
      <c r="R558">
        <v>1240.8399999999999</v>
      </c>
      <c r="S558">
        <v>9</v>
      </c>
      <c r="T558">
        <v>0</v>
      </c>
      <c r="U558">
        <v>330.51</v>
      </c>
    </row>
    <row r="559" spans="1:21" x14ac:dyDescent="0.35">
      <c r="A559" t="s">
        <v>2776</v>
      </c>
      <c r="B559" s="2">
        <v>42690</v>
      </c>
      <c r="C559" s="2" t="str">
        <f t="shared" si="16"/>
        <v>November</v>
      </c>
      <c r="D559" s="2" t="str">
        <f t="shared" si="17"/>
        <v>2016</v>
      </c>
      <c r="E559" s="2" t="s">
        <v>6304</v>
      </c>
      <c r="F559" t="s">
        <v>52</v>
      </c>
      <c r="G559" t="s">
        <v>2777</v>
      </c>
      <c r="H559" t="s">
        <v>2778</v>
      </c>
      <c r="I559" t="s">
        <v>23</v>
      </c>
      <c r="J559" t="s">
        <v>24</v>
      </c>
      <c r="K559" t="s">
        <v>103</v>
      </c>
      <c r="L559" t="s">
        <v>36</v>
      </c>
      <c r="M559" t="s">
        <v>27</v>
      </c>
      <c r="N559" t="s">
        <v>2779</v>
      </c>
      <c r="O559" t="s">
        <v>67</v>
      </c>
      <c r="P559" t="s">
        <v>92</v>
      </c>
      <c r="Q559" t="s">
        <v>2780</v>
      </c>
      <c r="R559">
        <v>1558.34</v>
      </c>
      <c r="S559">
        <v>3</v>
      </c>
      <c r="T559">
        <v>0.2</v>
      </c>
      <c r="U559">
        <v>3.55</v>
      </c>
    </row>
    <row r="560" spans="1:21" x14ac:dyDescent="0.35">
      <c r="A560" t="s">
        <v>2781</v>
      </c>
      <c r="B560" s="2">
        <v>42703</v>
      </c>
      <c r="C560" s="2" t="str">
        <f t="shared" si="16"/>
        <v>November</v>
      </c>
      <c r="D560" s="2" t="str">
        <f t="shared" si="17"/>
        <v>2016</v>
      </c>
      <c r="E560" s="2">
        <v>42441</v>
      </c>
      <c r="F560" t="s">
        <v>52</v>
      </c>
      <c r="G560" t="s">
        <v>2782</v>
      </c>
      <c r="H560" t="s">
        <v>2783</v>
      </c>
      <c r="I560" t="s">
        <v>23</v>
      </c>
      <c r="J560" t="s">
        <v>24</v>
      </c>
      <c r="K560" t="s">
        <v>81</v>
      </c>
      <c r="L560" t="s">
        <v>115</v>
      </c>
      <c r="M560" t="s">
        <v>74</v>
      </c>
      <c r="N560" t="s">
        <v>2784</v>
      </c>
      <c r="O560" t="s">
        <v>48</v>
      </c>
      <c r="P560" t="s">
        <v>128</v>
      </c>
      <c r="Q560" t="s">
        <v>2785</v>
      </c>
      <c r="R560">
        <v>617.16999999999996</v>
      </c>
      <c r="S560">
        <v>8</v>
      </c>
      <c r="T560">
        <v>0.3</v>
      </c>
      <c r="U560">
        <v>15.24</v>
      </c>
    </row>
    <row r="561" spans="1:21" x14ac:dyDescent="0.35">
      <c r="A561" t="s">
        <v>2786</v>
      </c>
      <c r="B561" s="2">
        <v>43363</v>
      </c>
      <c r="C561" s="2" t="str">
        <f t="shared" si="16"/>
        <v>September</v>
      </c>
      <c r="D561" s="2" t="str">
        <f t="shared" si="17"/>
        <v>2018</v>
      </c>
      <c r="E561" s="2" t="s">
        <v>6310</v>
      </c>
      <c r="F561" t="s">
        <v>52</v>
      </c>
      <c r="G561" t="s">
        <v>2787</v>
      </c>
      <c r="H561" t="s">
        <v>2788</v>
      </c>
      <c r="I561" t="s">
        <v>55</v>
      </c>
      <c r="J561" t="s">
        <v>24</v>
      </c>
      <c r="K561" t="s">
        <v>133</v>
      </c>
      <c r="L561" t="s">
        <v>115</v>
      </c>
      <c r="M561" t="s">
        <v>57</v>
      </c>
      <c r="N561" t="s">
        <v>2789</v>
      </c>
      <c r="O561" t="s">
        <v>48</v>
      </c>
      <c r="P561" t="s">
        <v>128</v>
      </c>
      <c r="Q561" t="s">
        <v>2790</v>
      </c>
      <c r="R561">
        <v>1988.75</v>
      </c>
      <c r="S561">
        <v>5</v>
      </c>
      <c r="T561">
        <v>0.4</v>
      </c>
      <c r="U561">
        <v>473.33</v>
      </c>
    </row>
    <row r="562" spans="1:21" x14ac:dyDescent="0.35">
      <c r="A562" t="s">
        <v>2791</v>
      </c>
      <c r="B562" s="2">
        <v>43045</v>
      </c>
      <c r="C562" s="2" t="str">
        <f t="shared" si="16"/>
        <v>November</v>
      </c>
      <c r="D562" s="2" t="str">
        <f t="shared" si="17"/>
        <v>2017</v>
      </c>
      <c r="E562" s="2">
        <v>42958</v>
      </c>
      <c r="F562" t="s">
        <v>52</v>
      </c>
      <c r="G562" t="s">
        <v>2792</v>
      </c>
      <c r="H562" t="s">
        <v>2793</v>
      </c>
      <c r="I562" t="s">
        <v>35</v>
      </c>
      <c r="J562" t="s">
        <v>24</v>
      </c>
      <c r="K562" t="s">
        <v>97</v>
      </c>
      <c r="L562" t="s">
        <v>170</v>
      </c>
      <c r="M562" t="s">
        <v>83</v>
      </c>
      <c r="N562" t="s">
        <v>2794</v>
      </c>
      <c r="O562" t="s">
        <v>29</v>
      </c>
      <c r="P562" t="s">
        <v>110</v>
      </c>
      <c r="Q562" t="s">
        <v>2795</v>
      </c>
      <c r="R562">
        <v>1747.7</v>
      </c>
      <c r="S562">
        <v>10</v>
      </c>
      <c r="T562">
        <v>0.3</v>
      </c>
      <c r="U562">
        <v>71.58</v>
      </c>
    </row>
    <row r="563" spans="1:21" x14ac:dyDescent="0.35">
      <c r="A563" t="s">
        <v>2796</v>
      </c>
      <c r="B563" s="2">
        <v>43754</v>
      </c>
      <c r="C563" s="2" t="str">
        <f t="shared" si="16"/>
        <v>October</v>
      </c>
      <c r="D563" s="2" t="str">
        <f t="shared" si="17"/>
        <v>2019</v>
      </c>
      <c r="E563" s="2" t="s">
        <v>5991</v>
      </c>
      <c r="F563" t="s">
        <v>20</v>
      </c>
      <c r="G563" t="s">
        <v>2797</v>
      </c>
      <c r="H563" t="s">
        <v>2798</v>
      </c>
      <c r="I563" t="s">
        <v>55</v>
      </c>
      <c r="J563" t="s">
        <v>24</v>
      </c>
      <c r="K563" t="s">
        <v>103</v>
      </c>
      <c r="L563" t="s">
        <v>26</v>
      </c>
      <c r="M563" t="s">
        <v>27</v>
      </c>
      <c r="N563" t="s">
        <v>2799</v>
      </c>
      <c r="O563" t="s">
        <v>67</v>
      </c>
      <c r="P563" t="s">
        <v>92</v>
      </c>
      <c r="Q563" t="s">
        <v>2800</v>
      </c>
      <c r="R563">
        <v>807.93</v>
      </c>
      <c r="S563">
        <v>8</v>
      </c>
      <c r="T563">
        <v>0.2</v>
      </c>
      <c r="U563">
        <v>92.48</v>
      </c>
    </row>
    <row r="564" spans="1:21" x14ac:dyDescent="0.35">
      <c r="A564" t="s">
        <v>2801</v>
      </c>
      <c r="B564" s="2">
        <v>43007</v>
      </c>
      <c r="C564" s="2" t="str">
        <f t="shared" si="16"/>
        <v>September</v>
      </c>
      <c r="D564" s="2" t="str">
        <f t="shared" si="17"/>
        <v>2017</v>
      </c>
      <c r="E564" s="2">
        <v>42835</v>
      </c>
      <c r="F564" t="s">
        <v>62</v>
      </c>
      <c r="G564" t="s">
        <v>2802</v>
      </c>
      <c r="H564" t="s">
        <v>263</v>
      </c>
      <c r="I564" t="s">
        <v>35</v>
      </c>
      <c r="J564" t="s">
        <v>24</v>
      </c>
      <c r="K564" t="s">
        <v>133</v>
      </c>
      <c r="L564" t="s">
        <v>115</v>
      </c>
      <c r="M564" t="s">
        <v>83</v>
      </c>
      <c r="N564" t="s">
        <v>2803</v>
      </c>
      <c r="O564" t="s">
        <v>48</v>
      </c>
      <c r="P564" t="s">
        <v>128</v>
      </c>
      <c r="Q564" t="s">
        <v>2804</v>
      </c>
      <c r="R564">
        <v>652.71</v>
      </c>
      <c r="S564">
        <v>6</v>
      </c>
      <c r="T564">
        <v>0</v>
      </c>
      <c r="U564">
        <v>223.89</v>
      </c>
    </row>
    <row r="565" spans="1:21" x14ac:dyDescent="0.35">
      <c r="A565" t="s">
        <v>2805</v>
      </c>
      <c r="B565" s="2">
        <v>42424</v>
      </c>
      <c r="C565" s="2" t="str">
        <f t="shared" si="16"/>
        <v>February</v>
      </c>
      <c r="D565" s="2" t="str">
        <f t="shared" si="17"/>
        <v>2016</v>
      </c>
      <c r="E565" s="2" t="s">
        <v>5919</v>
      </c>
      <c r="F565" t="s">
        <v>20</v>
      </c>
      <c r="G565" t="s">
        <v>2806</v>
      </c>
      <c r="H565" t="s">
        <v>2807</v>
      </c>
      <c r="I565" t="s">
        <v>35</v>
      </c>
      <c r="J565" t="s">
        <v>24</v>
      </c>
      <c r="K565" t="s">
        <v>73</v>
      </c>
      <c r="L565" t="s">
        <v>82</v>
      </c>
      <c r="M565" t="s">
        <v>83</v>
      </c>
      <c r="N565" t="s">
        <v>2808</v>
      </c>
      <c r="O565" t="s">
        <v>29</v>
      </c>
      <c r="P565" t="s">
        <v>39</v>
      </c>
      <c r="Q565" t="s">
        <v>2809</v>
      </c>
      <c r="R565">
        <v>321.97000000000003</v>
      </c>
      <c r="S565">
        <v>6</v>
      </c>
      <c r="T565">
        <v>0.2</v>
      </c>
      <c r="U565">
        <v>-23.84</v>
      </c>
    </row>
    <row r="566" spans="1:21" x14ac:dyDescent="0.35">
      <c r="A566" t="s">
        <v>2810</v>
      </c>
      <c r="B566" s="2">
        <v>42582</v>
      </c>
      <c r="C566" s="2" t="str">
        <f t="shared" si="16"/>
        <v>July</v>
      </c>
      <c r="D566" s="2" t="str">
        <f t="shared" si="17"/>
        <v>2016</v>
      </c>
      <c r="E566" s="2">
        <v>42559</v>
      </c>
      <c r="F566" t="s">
        <v>62</v>
      </c>
      <c r="G566" t="s">
        <v>2811</v>
      </c>
      <c r="H566" t="s">
        <v>629</v>
      </c>
      <c r="I566" t="s">
        <v>35</v>
      </c>
      <c r="J566" t="s">
        <v>24</v>
      </c>
      <c r="K566" t="s">
        <v>73</v>
      </c>
      <c r="L566" t="s">
        <v>37</v>
      </c>
      <c r="M566" t="s">
        <v>27</v>
      </c>
      <c r="N566" t="s">
        <v>2812</v>
      </c>
      <c r="O566" t="s">
        <v>29</v>
      </c>
      <c r="P566" t="s">
        <v>155</v>
      </c>
      <c r="Q566" t="s">
        <v>2813</v>
      </c>
      <c r="R566">
        <v>306.86</v>
      </c>
      <c r="S566">
        <v>4</v>
      </c>
      <c r="T566">
        <v>0.1</v>
      </c>
      <c r="U566">
        <v>122.62</v>
      </c>
    </row>
    <row r="567" spans="1:21" x14ac:dyDescent="0.35">
      <c r="A567" t="s">
        <v>2814</v>
      </c>
      <c r="B567" s="2">
        <v>43016</v>
      </c>
      <c r="C567" s="2" t="str">
        <f t="shared" si="16"/>
        <v>October</v>
      </c>
      <c r="D567" s="2" t="str">
        <f t="shared" si="17"/>
        <v>2017</v>
      </c>
      <c r="E567" s="2" t="s">
        <v>6123</v>
      </c>
      <c r="F567" t="s">
        <v>42</v>
      </c>
      <c r="G567" t="s">
        <v>2815</v>
      </c>
      <c r="H567" t="s">
        <v>2816</v>
      </c>
      <c r="I567" t="s">
        <v>23</v>
      </c>
      <c r="J567" t="s">
        <v>24</v>
      </c>
      <c r="K567" t="s">
        <v>25</v>
      </c>
      <c r="L567" t="s">
        <v>36</v>
      </c>
      <c r="M567" t="s">
        <v>27</v>
      </c>
      <c r="N567" t="s">
        <v>2817</v>
      </c>
      <c r="O567" t="s">
        <v>29</v>
      </c>
      <c r="P567" t="s">
        <v>155</v>
      </c>
      <c r="Q567" t="s">
        <v>2818</v>
      </c>
      <c r="R567">
        <v>1707.26</v>
      </c>
      <c r="S567">
        <v>6</v>
      </c>
      <c r="T567">
        <v>0.3</v>
      </c>
      <c r="U567">
        <v>606.09</v>
      </c>
    </row>
    <row r="568" spans="1:21" x14ac:dyDescent="0.35">
      <c r="A568" t="s">
        <v>2819</v>
      </c>
      <c r="B568" s="2">
        <v>42823</v>
      </c>
      <c r="C568" s="2" t="str">
        <f t="shared" si="16"/>
        <v>March</v>
      </c>
      <c r="D568" s="2" t="str">
        <f t="shared" si="17"/>
        <v>2017</v>
      </c>
      <c r="E568" s="2">
        <v>42798</v>
      </c>
      <c r="F568" t="s">
        <v>20</v>
      </c>
      <c r="G568" t="s">
        <v>2820</v>
      </c>
      <c r="H568" t="s">
        <v>2821</v>
      </c>
      <c r="I568" t="s">
        <v>23</v>
      </c>
      <c r="J568" t="s">
        <v>24</v>
      </c>
      <c r="K568" t="s">
        <v>73</v>
      </c>
      <c r="L568" t="s">
        <v>26</v>
      </c>
      <c r="M568" t="s">
        <v>74</v>
      </c>
      <c r="N568" t="s">
        <v>2822</v>
      </c>
      <c r="O568" t="s">
        <v>67</v>
      </c>
      <c r="P568" t="s">
        <v>350</v>
      </c>
      <c r="Q568" t="s">
        <v>2823</v>
      </c>
      <c r="R568">
        <v>79.97</v>
      </c>
      <c r="S568">
        <v>8</v>
      </c>
      <c r="T568">
        <v>0</v>
      </c>
      <c r="U568">
        <v>19.38</v>
      </c>
    </row>
    <row r="569" spans="1:21" x14ac:dyDescent="0.35">
      <c r="A569" t="s">
        <v>2824</v>
      </c>
      <c r="B569" s="2">
        <v>42554</v>
      </c>
      <c r="C569" s="2" t="str">
        <f t="shared" si="16"/>
        <v>July</v>
      </c>
      <c r="D569" s="2" t="str">
        <f t="shared" si="17"/>
        <v>2016</v>
      </c>
      <c r="E569" s="2">
        <v>42589</v>
      </c>
      <c r="F569" t="s">
        <v>20</v>
      </c>
      <c r="G569" t="s">
        <v>2825</v>
      </c>
      <c r="H569" t="s">
        <v>2826</v>
      </c>
      <c r="I569" t="s">
        <v>35</v>
      </c>
      <c r="J569" t="s">
        <v>24</v>
      </c>
      <c r="K569" t="s">
        <v>89</v>
      </c>
      <c r="L569" t="s">
        <v>46</v>
      </c>
      <c r="M569" t="s">
        <v>83</v>
      </c>
      <c r="N569" t="s">
        <v>2827</v>
      </c>
      <c r="O569" t="s">
        <v>48</v>
      </c>
      <c r="P569" t="s">
        <v>76</v>
      </c>
      <c r="Q569" t="s">
        <v>2828</v>
      </c>
      <c r="R569">
        <v>818.13</v>
      </c>
      <c r="S569">
        <v>4</v>
      </c>
      <c r="T569">
        <v>0.3</v>
      </c>
      <c r="U569">
        <v>142.31</v>
      </c>
    </row>
    <row r="570" spans="1:21" x14ac:dyDescent="0.35">
      <c r="A570" t="s">
        <v>2829</v>
      </c>
      <c r="B570" s="2">
        <v>42383</v>
      </c>
      <c r="C570" s="2" t="str">
        <f t="shared" si="16"/>
        <v>January</v>
      </c>
      <c r="D570" s="2" t="str">
        <f t="shared" si="17"/>
        <v>2016</v>
      </c>
      <c r="E570" s="2" t="s">
        <v>6071</v>
      </c>
      <c r="F570" t="s">
        <v>20</v>
      </c>
      <c r="G570" t="s">
        <v>2830</v>
      </c>
      <c r="H570" t="s">
        <v>180</v>
      </c>
      <c r="I570" t="s">
        <v>55</v>
      </c>
      <c r="J570" t="s">
        <v>24</v>
      </c>
      <c r="K570" t="s">
        <v>45</v>
      </c>
      <c r="L570" t="s">
        <v>46</v>
      </c>
      <c r="M570" t="s">
        <v>27</v>
      </c>
      <c r="N570" t="s">
        <v>2831</v>
      </c>
      <c r="O570" t="s">
        <v>48</v>
      </c>
      <c r="P570" t="s">
        <v>49</v>
      </c>
      <c r="Q570" t="s">
        <v>2832</v>
      </c>
      <c r="R570">
        <v>165.6</v>
      </c>
      <c r="S570">
        <v>6</v>
      </c>
      <c r="T570">
        <v>0.3</v>
      </c>
      <c r="U570">
        <v>53.7</v>
      </c>
    </row>
    <row r="571" spans="1:21" x14ac:dyDescent="0.35">
      <c r="A571" t="s">
        <v>2833</v>
      </c>
      <c r="B571" s="2">
        <v>43122</v>
      </c>
      <c r="C571" s="2" t="str">
        <f t="shared" si="16"/>
        <v>January</v>
      </c>
      <c r="D571" s="2" t="str">
        <f t="shared" si="17"/>
        <v>2018</v>
      </c>
      <c r="E571" s="2" t="s">
        <v>6129</v>
      </c>
      <c r="F571" t="s">
        <v>52</v>
      </c>
      <c r="G571" t="s">
        <v>2834</v>
      </c>
      <c r="H571" t="s">
        <v>2835</v>
      </c>
      <c r="I571" t="s">
        <v>23</v>
      </c>
      <c r="J571" t="s">
        <v>24</v>
      </c>
      <c r="K571" t="s">
        <v>81</v>
      </c>
      <c r="L571" t="s">
        <v>26</v>
      </c>
      <c r="M571" t="s">
        <v>57</v>
      </c>
      <c r="N571" t="s">
        <v>2836</v>
      </c>
      <c r="O571" t="s">
        <v>67</v>
      </c>
      <c r="P571" t="s">
        <v>68</v>
      </c>
      <c r="Q571" t="s">
        <v>2837</v>
      </c>
      <c r="R571">
        <v>1888.42</v>
      </c>
      <c r="S571">
        <v>7</v>
      </c>
      <c r="T571">
        <v>0</v>
      </c>
      <c r="U571">
        <v>-399.73</v>
      </c>
    </row>
    <row r="572" spans="1:21" x14ac:dyDescent="0.35">
      <c r="A572" t="s">
        <v>2838</v>
      </c>
      <c r="B572" s="2">
        <v>42787</v>
      </c>
      <c r="C572" s="2" t="str">
        <f t="shared" si="16"/>
        <v>February</v>
      </c>
      <c r="D572" s="2" t="str">
        <f t="shared" si="17"/>
        <v>2017</v>
      </c>
      <c r="E572" s="2">
        <v>42797</v>
      </c>
      <c r="F572" t="s">
        <v>20</v>
      </c>
      <c r="G572" t="s">
        <v>2839</v>
      </c>
      <c r="H572" t="s">
        <v>2840</v>
      </c>
      <c r="I572" t="s">
        <v>35</v>
      </c>
      <c r="J572" t="s">
        <v>24</v>
      </c>
      <c r="K572" t="s">
        <v>97</v>
      </c>
      <c r="L572" t="s">
        <v>170</v>
      </c>
      <c r="M572" t="s">
        <v>83</v>
      </c>
      <c r="N572" t="s">
        <v>2841</v>
      </c>
      <c r="O572" t="s">
        <v>48</v>
      </c>
      <c r="P572" t="s">
        <v>59</v>
      </c>
      <c r="Q572" t="s">
        <v>2842</v>
      </c>
      <c r="R572">
        <v>252.53</v>
      </c>
      <c r="S572">
        <v>10</v>
      </c>
      <c r="T572">
        <v>0</v>
      </c>
      <c r="U572">
        <v>-11.27</v>
      </c>
    </row>
    <row r="573" spans="1:21" x14ac:dyDescent="0.35">
      <c r="A573" t="s">
        <v>2843</v>
      </c>
      <c r="B573" s="2">
        <v>42803</v>
      </c>
      <c r="C573" s="2" t="str">
        <f t="shared" si="16"/>
        <v>March</v>
      </c>
      <c r="D573" s="2" t="str">
        <f t="shared" si="17"/>
        <v>2017</v>
      </c>
      <c r="E573" s="2" t="s">
        <v>6311</v>
      </c>
      <c r="F573" t="s">
        <v>42</v>
      </c>
      <c r="G573" t="s">
        <v>2844</v>
      </c>
      <c r="H573" t="s">
        <v>2845</v>
      </c>
      <c r="I573" t="s">
        <v>35</v>
      </c>
      <c r="J573" t="s">
        <v>24</v>
      </c>
      <c r="K573" t="s">
        <v>97</v>
      </c>
      <c r="L573" t="s">
        <v>26</v>
      </c>
      <c r="M573" t="s">
        <v>83</v>
      </c>
      <c r="N573" t="s">
        <v>2846</v>
      </c>
      <c r="O573" t="s">
        <v>67</v>
      </c>
      <c r="P573" t="s">
        <v>68</v>
      </c>
      <c r="Q573" t="s">
        <v>2847</v>
      </c>
      <c r="R573">
        <v>1964.03</v>
      </c>
      <c r="S573">
        <v>5</v>
      </c>
      <c r="T573">
        <v>0.2</v>
      </c>
      <c r="U573">
        <v>-147.59</v>
      </c>
    </row>
    <row r="574" spans="1:21" x14ac:dyDescent="0.35">
      <c r="A574" t="s">
        <v>2848</v>
      </c>
      <c r="B574" s="2">
        <v>43291</v>
      </c>
      <c r="C574" s="2" t="str">
        <f t="shared" si="16"/>
        <v>July</v>
      </c>
      <c r="D574" s="2" t="str">
        <f t="shared" si="17"/>
        <v>2018</v>
      </c>
      <c r="E574" s="2" t="s">
        <v>6241</v>
      </c>
      <c r="F574" t="s">
        <v>52</v>
      </c>
      <c r="G574" t="s">
        <v>2849</v>
      </c>
      <c r="H574" t="s">
        <v>2850</v>
      </c>
      <c r="I574" t="s">
        <v>35</v>
      </c>
      <c r="J574" t="s">
        <v>24</v>
      </c>
      <c r="K574" t="s">
        <v>103</v>
      </c>
      <c r="L574" t="s">
        <v>37</v>
      </c>
      <c r="M574" t="s">
        <v>57</v>
      </c>
      <c r="N574" t="s">
        <v>2851</v>
      </c>
      <c r="O574" t="s">
        <v>29</v>
      </c>
      <c r="P574" t="s">
        <v>110</v>
      </c>
      <c r="Q574" t="s">
        <v>2852</v>
      </c>
      <c r="R574">
        <v>404.18</v>
      </c>
      <c r="S574">
        <v>2</v>
      </c>
      <c r="T574">
        <v>0.2</v>
      </c>
      <c r="U574">
        <v>-21.77</v>
      </c>
    </row>
    <row r="575" spans="1:21" x14ac:dyDescent="0.35">
      <c r="A575" t="s">
        <v>2853</v>
      </c>
      <c r="B575" s="2">
        <v>42944</v>
      </c>
      <c r="C575" s="2" t="str">
        <f t="shared" si="16"/>
        <v>July</v>
      </c>
      <c r="D575" s="2" t="str">
        <f t="shared" si="17"/>
        <v>2017</v>
      </c>
      <c r="E575" s="2" t="s">
        <v>6312</v>
      </c>
      <c r="F575" t="s">
        <v>20</v>
      </c>
      <c r="G575" t="s">
        <v>2854</v>
      </c>
      <c r="H575" t="s">
        <v>2855</v>
      </c>
      <c r="I575" t="s">
        <v>35</v>
      </c>
      <c r="J575" t="s">
        <v>24</v>
      </c>
      <c r="K575" t="s">
        <v>45</v>
      </c>
      <c r="L575" t="s">
        <v>26</v>
      </c>
      <c r="M575" t="s">
        <v>57</v>
      </c>
      <c r="N575" t="s">
        <v>2856</v>
      </c>
      <c r="O575" t="s">
        <v>48</v>
      </c>
      <c r="P575" t="s">
        <v>128</v>
      </c>
      <c r="Q575" t="s">
        <v>2857</v>
      </c>
      <c r="R575">
        <v>1126.23</v>
      </c>
      <c r="S575">
        <v>1</v>
      </c>
      <c r="T575">
        <v>0.4</v>
      </c>
      <c r="U575">
        <v>242.06</v>
      </c>
    </row>
    <row r="576" spans="1:21" x14ac:dyDescent="0.35">
      <c r="A576" t="s">
        <v>2858</v>
      </c>
      <c r="B576" s="2">
        <v>42432</v>
      </c>
      <c r="C576" s="2" t="str">
        <f t="shared" si="16"/>
        <v>March</v>
      </c>
      <c r="D576" s="2" t="str">
        <f t="shared" si="17"/>
        <v>2016</v>
      </c>
      <c r="E576" s="2">
        <v>42646</v>
      </c>
      <c r="F576" t="s">
        <v>52</v>
      </c>
      <c r="G576" t="s">
        <v>2859</v>
      </c>
      <c r="H576" t="s">
        <v>2860</v>
      </c>
      <c r="I576" t="s">
        <v>55</v>
      </c>
      <c r="J576" t="s">
        <v>24</v>
      </c>
      <c r="K576" t="s">
        <v>45</v>
      </c>
      <c r="L576" t="s">
        <v>82</v>
      </c>
      <c r="M576" t="s">
        <v>83</v>
      </c>
      <c r="N576" t="s">
        <v>2861</v>
      </c>
      <c r="O576" t="s">
        <v>67</v>
      </c>
      <c r="P576" t="s">
        <v>229</v>
      </c>
      <c r="Q576" t="s">
        <v>2862</v>
      </c>
      <c r="R576">
        <v>1253.23</v>
      </c>
      <c r="S576">
        <v>10</v>
      </c>
      <c r="T576">
        <v>0</v>
      </c>
      <c r="U576">
        <v>201.23</v>
      </c>
    </row>
    <row r="577" spans="1:21" x14ac:dyDescent="0.35">
      <c r="A577" t="s">
        <v>2863</v>
      </c>
      <c r="B577" s="2">
        <v>43342</v>
      </c>
      <c r="C577" s="2" t="str">
        <f t="shared" si="16"/>
        <v>August</v>
      </c>
      <c r="D577" s="2" t="str">
        <f t="shared" si="17"/>
        <v>2018</v>
      </c>
      <c r="E577" s="2">
        <v>43321</v>
      </c>
      <c r="F577" t="s">
        <v>62</v>
      </c>
      <c r="G577" t="s">
        <v>2864</v>
      </c>
      <c r="H577" t="s">
        <v>2865</v>
      </c>
      <c r="I577" t="s">
        <v>23</v>
      </c>
      <c r="J577" t="s">
        <v>24</v>
      </c>
      <c r="K577" t="s">
        <v>133</v>
      </c>
      <c r="L577" t="s">
        <v>37</v>
      </c>
      <c r="M577" t="s">
        <v>74</v>
      </c>
      <c r="N577" t="s">
        <v>2866</v>
      </c>
      <c r="O577" t="s">
        <v>29</v>
      </c>
      <c r="P577" t="s">
        <v>30</v>
      </c>
      <c r="Q577" t="s">
        <v>2867</v>
      </c>
      <c r="R577">
        <v>1093.72</v>
      </c>
      <c r="S577">
        <v>9</v>
      </c>
      <c r="T577">
        <v>0</v>
      </c>
      <c r="U577">
        <v>269.45</v>
      </c>
    </row>
    <row r="578" spans="1:21" x14ac:dyDescent="0.35">
      <c r="A578" t="s">
        <v>2868</v>
      </c>
      <c r="B578" s="2">
        <v>42476</v>
      </c>
      <c r="C578" s="2" t="str">
        <f t="shared" si="16"/>
        <v>April</v>
      </c>
      <c r="D578" s="2" t="str">
        <f t="shared" si="17"/>
        <v>2016</v>
      </c>
      <c r="E578" s="2" t="s">
        <v>6301</v>
      </c>
      <c r="F578" t="s">
        <v>62</v>
      </c>
      <c r="G578" t="s">
        <v>2869</v>
      </c>
      <c r="H578" t="s">
        <v>2870</v>
      </c>
      <c r="I578" t="s">
        <v>23</v>
      </c>
      <c r="J578" t="s">
        <v>24</v>
      </c>
      <c r="K578" t="s">
        <v>133</v>
      </c>
      <c r="L578" t="s">
        <v>26</v>
      </c>
      <c r="M578" t="s">
        <v>27</v>
      </c>
      <c r="N578" t="s">
        <v>2871</v>
      </c>
      <c r="O578" t="s">
        <v>48</v>
      </c>
      <c r="P578" t="s">
        <v>76</v>
      </c>
      <c r="Q578" t="s">
        <v>1917</v>
      </c>
      <c r="R578">
        <v>377.86</v>
      </c>
      <c r="S578">
        <v>7</v>
      </c>
      <c r="T578">
        <v>0.3</v>
      </c>
      <c r="U578">
        <v>-34.01</v>
      </c>
    </row>
    <row r="579" spans="1:21" x14ac:dyDescent="0.35">
      <c r="A579" t="s">
        <v>2872</v>
      </c>
      <c r="B579" s="2">
        <v>42631</v>
      </c>
      <c r="C579" s="2" t="str">
        <f t="shared" ref="C579:C642" si="18">TEXT(B579,"mmmm")</f>
        <v>September</v>
      </c>
      <c r="D579" s="2" t="str">
        <f t="shared" ref="D579:D642" si="19">TEXT(B579,"yyyy")</f>
        <v>2016</v>
      </c>
      <c r="E579" s="2" t="s">
        <v>6313</v>
      </c>
      <c r="F579" t="s">
        <v>62</v>
      </c>
      <c r="G579" t="s">
        <v>2873</v>
      </c>
      <c r="H579" t="s">
        <v>2874</v>
      </c>
      <c r="I579" t="s">
        <v>55</v>
      </c>
      <c r="J579" t="s">
        <v>24</v>
      </c>
      <c r="K579" t="s">
        <v>81</v>
      </c>
      <c r="L579" t="s">
        <v>65</v>
      </c>
      <c r="M579" t="s">
        <v>27</v>
      </c>
      <c r="N579" t="s">
        <v>2875</v>
      </c>
      <c r="O579" t="s">
        <v>67</v>
      </c>
      <c r="P579" t="s">
        <v>117</v>
      </c>
      <c r="Q579" t="s">
        <v>2876</v>
      </c>
      <c r="R579">
        <v>1335.3</v>
      </c>
      <c r="S579">
        <v>4</v>
      </c>
      <c r="T579">
        <v>0</v>
      </c>
      <c r="U579">
        <v>638.67999999999995</v>
      </c>
    </row>
    <row r="580" spans="1:21" x14ac:dyDescent="0.35">
      <c r="A580" t="s">
        <v>2877</v>
      </c>
      <c r="B580" s="2">
        <v>42832</v>
      </c>
      <c r="C580" s="2" t="str">
        <f t="shared" si="18"/>
        <v>April</v>
      </c>
      <c r="D580" s="2" t="str">
        <f t="shared" si="19"/>
        <v>2017</v>
      </c>
      <c r="E580" s="2" t="s">
        <v>6072</v>
      </c>
      <c r="F580" t="s">
        <v>62</v>
      </c>
      <c r="G580" t="s">
        <v>2878</v>
      </c>
      <c r="H580" t="s">
        <v>2879</v>
      </c>
      <c r="I580" t="s">
        <v>23</v>
      </c>
      <c r="J580" t="s">
        <v>24</v>
      </c>
      <c r="K580" t="s">
        <v>89</v>
      </c>
      <c r="L580" t="s">
        <v>56</v>
      </c>
      <c r="M580" t="s">
        <v>74</v>
      </c>
      <c r="N580" t="s">
        <v>2880</v>
      </c>
      <c r="O580" t="s">
        <v>29</v>
      </c>
      <c r="P580" t="s">
        <v>39</v>
      </c>
      <c r="Q580" t="s">
        <v>2881</v>
      </c>
      <c r="R580">
        <v>1880.1</v>
      </c>
      <c r="S580">
        <v>6</v>
      </c>
      <c r="T580">
        <v>0.1</v>
      </c>
      <c r="U580">
        <v>267.11</v>
      </c>
    </row>
    <row r="581" spans="1:21" x14ac:dyDescent="0.35">
      <c r="A581" t="s">
        <v>2882</v>
      </c>
      <c r="B581" s="2">
        <v>42656</v>
      </c>
      <c r="C581" s="2" t="str">
        <f t="shared" si="18"/>
        <v>October</v>
      </c>
      <c r="D581" s="2" t="str">
        <f t="shared" si="19"/>
        <v>2016</v>
      </c>
      <c r="E581" s="2" t="s">
        <v>6048</v>
      </c>
      <c r="F581" t="s">
        <v>20</v>
      </c>
      <c r="G581" t="s">
        <v>2883</v>
      </c>
      <c r="H581" t="s">
        <v>2884</v>
      </c>
      <c r="I581" t="s">
        <v>35</v>
      </c>
      <c r="J581" t="s">
        <v>24</v>
      </c>
      <c r="K581" t="s">
        <v>25</v>
      </c>
      <c r="L581" t="s">
        <v>37</v>
      </c>
      <c r="M581" t="s">
        <v>27</v>
      </c>
      <c r="N581" t="s">
        <v>2885</v>
      </c>
      <c r="O581" t="s">
        <v>48</v>
      </c>
      <c r="P581" t="s">
        <v>128</v>
      </c>
      <c r="Q581" t="s">
        <v>2886</v>
      </c>
      <c r="R581">
        <v>547.16999999999996</v>
      </c>
      <c r="S581">
        <v>10</v>
      </c>
      <c r="T581">
        <v>0.2</v>
      </c>
      <c r="U581">
        <v>-24.45</v>
      </c>
    </row>
    <row r="582" spans="1:21" x14ac:dyDescent="0.35">
      <c r="A582" t="s">
        <v>2887</v>
      </c>
      <c r="B582" s="2">
        <v>42843</v>
      </c>
      <c r="C582" s="2" t="str">
        <f t="shared" si="18"/>
        <v>April</v>
      </c>
      <c r="D582" s="2" t="str">
        <f t="shared" si="19"/>
        <v>2017</v>
      </c>
      <c r="E582" s="2" t="s">
        <v>5976</v>
      </c>
      <c r="F582" t="s">
        <v>42</v>
      </c>
      <c r="G582" t="s">
        <v>2888</v>
      </c>
      <c r="H582" t="s">
        <v>2889</v>
      </c>
      <c r="I582" t="s">
        <v>55</v>
      </c>
      <c r="J582" t="s">
        <v>24</v>
      </c>
      <c r="K582" t="s">
        <v>25</v>
      </c>
      <c r="L582" t="s">
        <v>46</v>
      </c>
      <c r="M582" t="s">
        <v>74</v>
      </c>
      <c r="N582" t="s">
        <v>2890</v>
      </c>
      <c r="O582" t="s">
        <v>67</v>
      </c>
      <c r="P582" t="s">
        <v>117</v>
      </c>
      <c r="Q582" t="s">
        <v>2891</v>
      </c>
      <c r="R582">
        <v>719.8</v>
      </c>
      <c r="S582">
        <v>9</v>
      </c>
      <c r="T582">
        <v>0.3</v>
      </c>
      <c r="U582">
        <v>220.74</v>
      </c>
    </row>
    <row r="583" spans="1:21" x14ac:dyDescent="0.35">
      <c r="A583" t="s">
        <v>2892</v>
      </c>
      <c r="B583" s="2">
        <v>42665</v>
      </c>
      <c r="C583" s="2" t="str">
        <f t="shared" si="18"/>
        <v>October</v>
      </c>
      <c r="D583" s="2" t="str">
        <f t="shared" si="19"/>
        <v>2016</v>
      </c>
      <c r="E583" s="2" t="s">
        <v>6314</v>
      </c>
      <c r="F583" t="s">
        <v>62</v>
      </c>
      <c r="G583" t="s">
        <v>2893</v>
      </c>
      <c r="H583" t="s">
        <v>2894</v>
      </c>
      <c r="I583" t="s">
        <v>55</v>
      </c>
      <c r="J583" t="s">
        <v>24</v>
      </c>
      <c r="K583" t="s">
        <v>103</v>
      </c>
      <c r="L583" t="s">
        <v>170</v>
      </c>
      <c r="M583" t="s">
        <v>83</v>
      </c>
      <c r="N583" t="s">
        <v>2895</v>
      </c>
      <c r="O583" t="s">
        <v>48</v>
      </c>
      <c r="P583" t="s">
        <v>59</v>
      </c>
      <c r="Q583" t="s">
        <v>2896</v>
      </c>
      <c r="R583">
        <v>114.76</v>
      </c>
      <c r="S583">
        <v>9</v>
      </c>
      <c r="T583">
        <v>0.4</v>
      </c>
      <c r="U583">
        <v>-13.65</v>
      </c>
    </row>
    <row r="584" spans="1:21" x14ac:dyDescent="0.35">
      <c r="A584" t="s">
        <v>2897</v>
      </c>
      <c r="B584" s="2">
        <v>42716</v>
      </c>
      <c r="C584" s="2" t="str">
        <f t="shared" si="18"/>
        <v>December</v>
      </c>
      <c r="D584" s="2" t="str">
        <f t="shared" si="19"/>
        <v>2016</v>
      </c>
      <c r="E584" s="2" t="s">
        <v>6315</v>
      </c>
      <c r="F584" t="s">
        <v>62</v>
      </c>
      <c r="G584" t="s">
        <v>2898</v>
      </c>
      <c r="H584" t="s">
        <v>2899</v>
      </c>
      <c r="I584" t="s">
        <v>35</v>
      </c>
      <c r="J584" t="s">
        <v>24</v>
      </c>
      <c r="K584" t="s">
        <v>73</v>
      </c>
      <c r="L584" t="s">
        <v>36</v>
      </c>
      <c r="M584" t="s">
        <v>27</v>
      </c>
      <c r="N584" t="s">
        <v>2900</v>
      </c>
      <c r="O584" t="s">
        <v>67</v>
      </c>
      <c r="P584" t="s">
        <v>117</v>
      </c>
      <c r="Q584" t="s">
        <v>2901</v>
      </c>
      <c r="R584">
        <v>273.3</v>
      </c>
      <c r="S584">
        <v>4</v>
      </c>
      <c r="T584">
        <v>0.1</v>
      </c>
      <c r="U584">
        <v>119.08</v>
      </c>
    </row>
    <row r="585" spans="1:21" x14ac:dyDescent="0.35">
      <c r="A585" t="s">
        <v>2902</v>
      </c>
      <c r="B585" s="2">
        <v>43807</v>
      </c>
      <c r="C585" s="2" t="str">
        <f t="shared" si="18"/>
        <v>December</v>
      </c>
      <c r="D585" s="2" t="str">
        <f t="shared" si="19"/>
        <v>2019</v>
      </c>
      <c r="E585" s="2">
        <v>43811</v>
      </c>
      <c r="F585" t="s">
        <v>42</v>
      </c>
      <c r="G585" t="s">
        <v>2903</v>
      </c>
      <c r="H585" t="s">
        <v>2904</v>
      </c>
      <c r="I585" t="s">
        <v>55</v>
      </c>
      <c r="J585" t="s">
        <v>24</v>
      </c>
      <c r="K585" t="s">
        <v>25</v>
      </c>
      <c r="L585" t="s">
        <v>65</v>
      </c>
      <c r="M585" t="s">
        <v>74</v>
      </c>
      <c r="N585" t="s">
        <v>2905</v>
      </c>
      <c r="O585" t="s">
        <v>29</v>
      </c>
      <c r="P585" t="s">
        <v>110</v>
      </c>
      <c r="Q585" t="s">
        <v>2906</v>
      </c>
      <c r="R585">
        <v>152.38</v>
      </c>
      <c r="S585">
        <v>2</v>
      </c>
      <c r="T585">
        <v>0</v>
      </c>
      <c r="U585">
        <v>-27.86</v>
      </c>
    </row>
    <row r="586" spans="1:21" x14ac:dyDescent="0.35">
      <c r="A586" t="s">
        <v>2907</v>
      </c>
      <c r="B586" s="2">
        <v>43551</v>
      </c>
      <c r="C586" s="2" t="str">
        <f t="shared" si="18"/>
        <v>March</v>
      </c>
      <c r="D586" s="2" t="str">
        <f t="shared" si="19"/>
        <v>2019</v>
      </c>
      <c r="E586" s="2" t="s">
        <v>6316</v>
      </c>
      <c r="F586" t="s">
        <v>42</v>
      </c>
      <c r="G586" t="s">
        <v>2908</v>
      </c>
      <c r="H586" t="s">
        <v>2909</v>
      </c>
      <c r="I586" t="s">
        <v>35</v>
      </c>
      <c r="J586" t="s">
        <v>24</v>
      </c>
      <c r="K586" t="s">
        <v>73</v>
      </c>
      <c r="L586" t="s">
        <v>90</v>
      </c>
      <c r="M586" t="s">
        <v>57</v>
      </c>
      <c r="N586" t="s">
        <v>2910</v>
      </c>
      <c r="O586" t="s">
        <v>48</v>
      </c>
      <c r="P586" t="s">
        <v>59</v>
      </c>
      <c r="Q586" t="s">
        <v>2911</v>
      </c>
      <c r="R586">
        <v>621.73</v>
      </c>
      <c r="S586">
        <v>10</v>
      </c>
      <c r="T586">
        <v>0.3</v>
      </c>
      <c r="U586">
        <v>-128.08000000000001</v>
      </c>
    </row>
    <row r="587" spans="1:21" x14ac:dyDescent="0.35">
      <c r="A587" t="s">
        <v>2912</v>
      </c>
      <c r="B587" s="2">
        <v>43110</v>
      </c>
      <c r="C587" s="2" t="str">
        <f t="shared" si="18"/>
        <v>January</v>
      </c>
      <c r="D587" s="2" t="str">
        <f t="shared" si="19"/>
        <v>2018</v>
      </c>
      <c r="E587" s="2" t="s">
        <v>5978</v>
      </c>
      <c r="F587" t="s">
        <v>52</v>
      </c>
      <c r="G587" t="s">
        <v>2913</v>
      </c>
      <c r="H587" t="s">
        <v>2914</v>
      </c>
      <c r="I587" t="s">
        <v>23</v>
      </c>
      <c r="J587" t="s">
        <v>24</v>
      </c>
      <c r="K587" t="s">
        <v>25</v>
      </c>
      <c r="L587" t="s">
        <v>115</v>
      </c>
      <c r="M587" t="s">
        <v>27</v>
      </c>
      <c r="N587" t="s">
        <v>2915</v>
      </c>
      <c r="O587" t="s">
        <v>29</v>
      </c>
      <c r="P587" t="s">
        <v>155</v>
      </c>
      <c r="Q587" t="s">
        <v>2916</v>
      </c>
      <c r="R587">
        <v>415.21</v>
      </c>
      <c r="S587">
        <v>4</v>
      </c>
      <c r="T587">
        <v>0.1</v>
      </c>
      <c r="U587">
        <v>142.82</v>
      </c>
    </row>
    <row r="588" spans="1:21" x14ac:dyDescent="0.35">
      <c r="A588" t="s">
        <v>2917</v>
      </c>
      <c r="B588" s="2">
        <v>43431</v>
      </c>
      <c r="C588" s="2" t="str">
        <f t="shared" si="18"/>
        <v>November</v>
      </c>
      <c r="D588" s="2" t="str">
        <f t="shared" si="19"/>
        <v>2018</v>
      </c>
      <c r="E588" s="2">
        <v>43112</v>
      </c>
      <c r="F588" t="s">
        <v>20</v>
      </c>
      <c r="G588" t="s">
        <v>2918</v>
      </c>
      <c r="H588" t="s">
        <v>2919</v>
      </c>
      <c r="I588" t="s">
        <v>35</v>
      </c>
      <c r="J588" t="s">
        <v>24</v>
      </c>
      <c r="K588" t="s">
        <v>36</v>
      </c>
      <c r="L588" t="s">
        <v>170</v>
      </c>
      <c r="M588" t="s">
        <v>27</v>
      </c>
      <c r="N588" t="s">
        <v>2920</v>
      </c>
      <c r="O588" t="s">
        <v>67</v>
      </c>
      <c r="P588" t="s">
        <v>229</v>
      </c>
      <c r="Q588" t="s">
        <v>2921</v>
      </c>
      <c r="R588">
        <v>1426.05</v>
      </c>
      <c r="S588">
        <v>8</v>
      </c>
      <c r="T588">
        <v>0</v>
      </c>
      <c r="U588">
        <v>392.46</v>
      </c>
    </row>
    <row r="589" spans="1:21" x14ac:dyDescent="0.35">
      <c r="A589" t="s">
        <v>2922</v>
      </c>
      <c r="B589" s="2">
        <v>42788</v>
      </c>
      <c r="C589" s="2" t="str">
        <f t="shared" si="18"/>
        <v>February</v>
      </c>
      <c r="D589" s="2" t="str">
        <f t="shared" si="19"/>
        <v>2017</v>
      </c>
      <c r="E589" s="2" t="s">
        <v>6080</v>
      </c>
      <c r="F589" t="s">
        <v>42</v>
      </c>
      <c r="G589" t="s">
        <v>2923</v>
      </c>
      <c r="H589" t="s">
        <v>2924</v>
      </c>
      <c r="I589" t="s">
        <v>55</v>
      </c>
      <c r="J589" t="s">
        <v>24</v>
      </c>
      <c r="K589" t="s">
        <v>25</v>
      </c>
      <c r="L589" t="s">
        <v>65</v>
      </c>
      <c r="M589" t="s">
        <v>27</v>
      </c>
      <c r="N589" t="s">
        <v>2925</v>
      </c>
      <c r="O589" t="s">
        <v>48</v>
      </c>
      <c r="P589" t="s">
        <v>128</v>
      </c>
      <c r="Q589" t="s">
        <v>1889</v>
      </c>
      <c r="R589">
        <v>1819.75</v>
      </c>
      <c r="S589">
        <v>8</v>
      </c>
      <c r="T589">
        <v>0</v>
      </c>
      <c r="U589">
        <v>395.89</v>
      </c>
    </row>
    <row r="590" spans="1:21" x14ac:dyDescent="0.35">
      <c r="A590" t="s">
        <v>2926</v>
      </c>
      <c r="B590" s="2">
        <v>43172</v>
      </c>
      <c r="C590" s="2" t="str">
        <f t="shared" si="18"/>
        <v>March</v>
      </c>
      <c r="D590" s="2" t="str">
        <f t="shared" si="19"/>
        <v>2018</v>
      </c>
      <c r="E590" s="2" t="s">
        <v>6317</v>
      </c>
      <c r="F590" t="s">
        <v>20</v>
      </c>
      <c r="G590" t="s">
        <v>2927</v>
      </c>
      <c r="H590" t="s">
        <v>817</v>
      </c>
      <c r="I590" t="s">
        <v>55</v>
      </c>
      <c r="J590" t="s">
        <v>24</v>
      </c>
      <c r="K590" t="s">
        <v>89</v>
      </c>
      <c r="L590" t="s">
        <v>115</v>
      </c>
      <c r="M590" t="s">
        <v>74</v>
      </c>
      <c r="N590" t="s">
        <v>2928</v>
      </c>
      <c r="O590" t="s">
        <v>29</v>
      </c>
      <c r="P590" t="s">
        <v>110</v>
      </c>
      <c r="Q590" t="s">
        <v>2929</v>
      </c>
      <c r="R590">
        <v>1936.82</v>
      </c>
      <c r="S590">
        <v>5</v>
      </c>
      <c r="T590">
        <v>0</v>
      </c>
      <c r="U590">
        <v>-364.8</v>
      </c>
    </row>
    <row r="591" spans="1:21" x14ac:dyDescent="0.35">
      <c r="A591" t="s">
        <v>2930</v>
      </c>
      <c r="B591" s="2">
        <v>43387</v>
      </c>
      <c r="C591" s="2" t="str">
        <f t="shared" si="18"/>
        <v>October</v>
      </c>
      <c r="D591" s="2" t="str">
        <f t="shared" si="19"/>
        <v>2018</v>
      </c>
      <c r="E591" s="2" t="s">
        <v>5903</v>
      </c>
      <c r="F591" t="s">
        <v>52</v>
      </c>
      <c r="G591" t="s">
        <v>2931</v>
      </c>
      <c r="H591" t="s">
        <v>2932</v>
      </c>
      <c r="I591" t="s">
        <v>35</v>
      </c>
      <c r="J591" t="s">
        <v>24</v>
      </c>
      <c r="K591" t="s">
        <v>36</v>
      </c>
      <c r="L591" t="s">
        <v>170</v>
      </c>
      <c r="M591" t="s">
        <v>57</v>
      </c>
      <c r="N591" t="s">
        <v>2933</v>
      </c>
      <c r="O591" t="s">
        <v>29</v>
      </c>
      <c r="P591" t="s">
        <v>155</v>
      </c>
      <c r="Q591" t="s">
        <v>2934</v>
      </c>
      <c r="R591">
        <v>446.89</v>
      </c>
      <c r="S591">
        <v>10</v>
      </c>
      <c r="T591">
        <v>0</v>
      </c>
      <c r="U591">
        <v>162.65</v>
      </c>
    </row>
    <row r="592" spans="1:21" x14ac:dyDescent="0.35">
      <c r="A592" t="s">
        <v>2935</v>
      </c>
      <c r="B592" s="2">
        <v>42839</v>
      </c>
      <c r="C592" s="2" t="str">
        <f t="shared" si="18"/>
        <v>April</v>
      </c>
      <c r="D592" s="2" t="str">
        <f t="shared" si="19"/>
        <v>2017</v>
      </c>
      <c r="E592" s="2" t="s">
        <v>5985</v>
      </c>
      <c r="F592" t="s">
        <v>62</v>
      </c>
      <c r="G592" t="s">
        <v>2936</v>
      </c>
      <c r="H592" t="s">
        <v>2937</v>
      </c>
      <c r="I592" t="s">
        <v>23</v>
      </c>
      <c r="J592" t="s">
        <v>24</v>
      </c>
      <c r="K592" t="s">
        <v>81</v>
      </c>
      <c r="L592" t="s">
        <v>82</v>
      </c>
      <c r="M592" t="s">
        <v>57</v>
      </c>
      <c r="N592" t="s">
        <v>2938</v>
      </c>
      <c r="O592" t="s">
        <v>67</v>
      </c>
      <c r="P592" t="s">
        <v>350</v>
      </c>
      <c r="Q592" t="s">
        <v>2939</v>
      </c>
      <c r="R592">
        <v>746.37</v>
      </c>
      <c r="S592">
        <v>1</v>
      </c>
      <c r="T592">
        <v>0</v>
      </c>
      <c r="U592">
        <v>-142.43</v>
      </c>
    </row>
    <row r="593" spans="1:21" x14ac:dyDescent="0.35">
      <c r="A593" t="s">
        <v>2940</v>
      </c>
      <c r="B593" s="2">
        <v>43724</v>
      </c>
      <c r="C593" s="2" t="str">
        <f t="shared" si="18"/>
        <v>September</v>
      </c>
      <c r="D593" s="2" t="str">
        <f t="shared" si="19"/>
        <v>2019</v>
      </c>
      <c r="E593" s="2" t="s">
        <v>6318</v>
      </c>
      <c r="F593" t="s">
        <v>20</v>
      </c>
      <c r="G593" t="s">
        <v>2941</v>
      </c>
      <c r="H593" t="s">
        <v>2942</v>
      </c>
      <c r="I593" t="s">
        <v>23</v>
      </c>
      <c r="J593" t="s">
        <v>24</v>
      </c>
      <c r="K593" t="s">
        <v>45</v>
      </c>
      <c r="L593" t="s">
        <v>90</v>
      </c>
      <c r="M593" t="s">
        <v>74</v>
      </c>
      <c r="N593" t="s">
        <v>2943</v>
      </c>
      <c r="O593" t="s">
        <v>48</v>
      </c>
      <c r="P593" t="s">
        <v>128</v>
      </c>
      <c r="Q593" t="s">
        <v>2944</v>
      </c>
      <c r="R593">
        <v>655.58</v>
      </c>
      <c r="S593">
        <v>7</v>
      </c>
      <c r="T593">
        <v>0.1</v>
      </c>
      <c r="U593">
        <v>-26.58</v>
      </c>
    </row>
    <row r="594" spans="1:21" x14ac:dyDescent="0.35">
      <c r="A594" t="s">
        <v>2945</v>
      </c>
      <c r="B594" s="2">
        <v>42500</v>
      </c>
      <c r="C594" s="2" t="str">
        <f t="shared" si="18"/>
        <v>May</v>
      </c>
      <c r="D594" s="2" t="str">
        <f t="shared" si="19"/>
        <v>2016</v>
      </c>
      <c r="E594" s="2" t="s">
        <v>6153</v>
      </c>
      <c r="F594" t="s">
        <v>42</v>
      </c>
      <c r="G594" t="s">
        <v>2946</v>
      </c>
      <c r="H594" t="s">
        <v>2947</v>
      </c>
      <c r="I594" t="s">
        <v>23</v>
      </c>
      <c r="J594" t="s">
        <v>24</v>
      </c>
      <c r="K594" t="s">
        <v>97</v>
      </c>
      <c r="L594" t="s">
        <v>46</v>
      </c>
      <c r="M594" t="s">
        <v>83</v>
      </c>
      <c r="N594" t="s">
        <v>2948</v>
      </c>
      <c r="O594" t="s">
        <v>48</v>
      </c>
      <c r="P594" t="s">
        <v>49</v>
      </c>
      <c r="Q594" t="s">
        <v>2949</v>
      </c>
      <c r="R594">
        <v>1162.69</v>
      </c>
      <c r="S594">
        <v>8</v>
      </c>
      <c r="T594">
        <v>0.1</v>
      </c>
      <c r="U594">
        <v>102.74</v>
      </c>
    </row>
    <row r="595" spans="1:21" x14ac:dyDescent="0.35">
      <c r="A595" t="s">
        <v>2950</v>
      </c>
      <c r="B595" s="2">
        <v>42986</v>
      </c>
      <c r="C595" s="2" t="str">
        <f t="shared" si="18"/>
        <v>September</v>
      </c>
      <c r="D595" s="2" t="str">
        <f t="shared" si="19"/>
        <v>2017</v>
      </c>
      <c r="E595" s="2">
        <v>43078</v>
      </c>
      <c r="F595" t="s">
        <v>62</v>
      </c>
      <c r="G595" t="s">
        <v>2951</v>
      </c>
      <c r="H595" t="s">
        <v>2952</v>
      </c>
      <c r="I595" t="s">
        <v>35</v>
      </c>
      <c r="J595" t="s">
        <v>24</v>
      </c>
      <c r="K595" t="s">
        <v>97</v>
      </c>
      <c r="L595" t="s">
        <v>90</v>
      </c>
      <c r="M595" t="s">
        <v>74</v>
      </c>
      <c r="N595" t="s">
        <v>2953</v>
      </c>
      <c r="O595" t="s">
        <v>48</v>
      </c>
      <c r="P595" t="s">
        <v>49</v>
      </c>
      <c r="Q595" t="s">
        <v>1599</v>
      </c>
      <c r="R595">
        <v>1359.2</v>
      </c>
      <c r="S595">
        <v>5</v>
      </c>
      <c r="T595">
        <v>0</v>
      </c>
      <c r="U595">
        <v>418.97</v>
      </c>
    </row>
    <row r="596" spans="1:21" x14ac:dyDescent="0.35">
      <c r="A596" t="s">
        <v>2954</v>
      </c>
      <c r="B596" s="2">
        <v>43686</v>
      </c>
      <c r="C596" s="2" t="str">
        <f t="shared" si="18"/>
        <v>August</v>
      </c>
      <c r="D596" s="2" t="str">
        <f t="shared" si="19"/>
        <v>2019</v>
      </c>
      <c r="E596" s="2" t="s">
        <v>6192</v>
      </c>
      <c r="F596" t="s">
        <v>20</v>
      </c>
      <c r="G596" t="s">
        <v>2955</v>
      </c>
      <c r="H596" t="s">
        <v>2879</v>
      </c>
      <c r="I596" t="s">
        <v>55</v>
      </c>
      <c r="J596" t="s">
        <v>24</v>
      </c>
      <c r="K596" t="s">
        <v>89</v>
      </c>
      <c r="L596" t="s">
        <v>170</v>
      </c>
      <c r="M596" t="s">
        <v>57</v>
      </c>
      <c r="N596" t="s">
        <v>2956</v>
      </c>
      <c r="O596" t="s">
        <v>29</v>
      </c>
      <c r="P596" t="s">
        <v>30</v>
      </c>
      <c r="Q596" t="s">
        <v>2957</v>
      </c>
      <c r="R596">
        <v>795.06</v>
      </c>
      <c r="S596">
        <v>6</v>
      </c>
      <c r="T596">
        <v>0.2</v>
      </c>
      <c r="U596">
        <v>161.26</v>
      </c>
    </row>
    <row r="597" spans="1:21" x14ac:dyDescent="0.35">
      <c r="A597" t="s">
        <v>2958</v>
      </c>
      <c r="B597" s="2">
        <v>43121</v>
      </c>
      <c r="C597" s="2" t="str">
        <f t="shared" si="18"/>
        <v>January</v>
      </c>
      <c r="D597" s="2" t="str">
        <f t="shared" si="19"/>
        <v>2018</v>
      </c>
      <c r="E597" s="2" t="s">
        <v>6056</v>
      </c>
      <c r="F597" t="s">
        <v>20</v>
      </c>
      <c r="G597" t="s">
        <v>2959</v>
      </c>
      <c r="H597" t="s">
        <v>2960</v>
      </c>
      <c r="I597" t="s">
        <v>23</v>
      </c>
      <c r="J597" t="s">
        <v>24</v>
      </c>
      <c r="K597" t="s">
        <v>103</v>
      </c>
      <c r="L597" t="s">
        <v>90</v>
      </c>
      <c r="M597" t="s">
        <v>83</v>
      </c>
      <c r="N597" t="s">
        <v>2961</v>
      </c>
      <c r="O597" t="s">
        <v>29</v>
      </c>
      <c r="P597" t="s">
        <v>155</v>
      </c>
      <c r="Q597" t="s">
        <v>2962</v>
      </c>
      <c r="R597">
        <v>1372.11</v>
      </c>
      <c r="S597">
        <v>6</v>
      </c>
      <c r="T597">
        <v>0.3</v>
      </c>
      <c r="U597">
        <v>527.52</v>
      </c>
    </row>
    <row r="598" spans="1:21" x14ac:dyDescent="0.35">
      <c r="A598" t="s">
        <v>2963</v>
      </c>
      <c r="B598" s="2">
        <v>43678</v>
      </c>
      <c r="C598" s="2" t="str">
        <f t="shared" si="18"/>
        <v>August</v>
      </c>
      <c r="D598" s="2" t="str">
        <f t="shared" si="19"/>
        <v>2019</v>
      </c>
      <c r="E598" s="2">
        <v>43746</v>
      </c>
      <c r="F598" t="s">
        <v>20</v>
      </c>
      <c r="G598" t="s">
        <v>2964</v>
      </c>
      <c r="H598" t="s">
        <v>2965</v>
      </c>
      <c r="I598" t="s">
        <v>35</v>
      </c>
      <c r="J598" t="s">
        <v>24</v>
      </c>
      <c r="K598" t="s">
        <v>45</v>
      </c>
      <c r="L598" t="s">
        <v>37</v>
      </c>
      <c r="M598" t="s">
        <v>27</v>
      </c>
      <c r="N598" t="s">
        <v>2966</v>
      </c>
      <c r="O598" t="s">
        <v>67</v>
      </c>
      <c r="P598" t="s">
        <v>68</v>
      </c>
      <c r="Q598" t="s">
        <v>2967</v>
      </c>
      <c r="R598">
        <v>1283.27</v>
      </c>
      <c r="S598">
        <v>9</v>
      </c>
      <c r="T598">
        <v>0.4</v>
      </c>
      <c r="U598">
        <v>196.72</v>
      </c>
    </row>
    <row r="599" spans="1:21" x14ac:dyDescent="0.35">
      <c r="A599" t="s">
        <v>2968</v>
      </c>
      <c r="B599" s="2">
        <v>42785</v>
      </c>
      <c r="C599" s="2" t="str">
        <f t="shared" si="18"/>
        <v>February</v>
      </c>
      <c r="D599" s="2" t="str">
        <f t="shared" si="19"/>
        <v>2017</v>
      </c>
      <c r="E599" s="2" t="s">
        <v>6103</v>
      </c>
      <c r="F599" t="s">
        <v>20</v>
      </c>
      <c r="G599" t="s">
        <v>2969</v>
      </c>
      <c r="H599" t="s">
        <v>1553</v>
      </c>
      <c r="I599" t="s">
        <v>35</v>
      </c>
      <c r="J599" t="s">
        <v>24</v>
      </c>
      <c r="K599" t="s">
        <v>89</v>
      </c>
      <c r="L599" t="s">
        <v>65</v>
      </c>
      <c r="M599" t="s">
        <v>27</v>
      </c>
      <c r="N599" t="s">
        <v>2970</v>
      </c>
      <c r="O599" t="s">
        <v>48</v>
      </c>
      <c r="P599" t="s">
        <v>76</v>
      </c>
      <c r="Q599" t="s">
        <v>2103</v>
      </c>
      <c r="R599">
        <v>1541.59</v>
      </c>
      <c r="S599">
        <v>8</v>
      </c>
      <c r="T599">
        <v>0</v>
      </c>
      <c r="U599">
        <v>706.91</v>
      </c>
    </row>
    <row r="600" spans="1:21" x14ac:dyDescent="0.35">
      <c r="A600" t="s">
        <v>2971</v>
      </c>
      <c r="B600" s="2">
        <v>43224</v>
      </c>
      <c r="C600" s="2" t="str">
        <f t="shared" si="18"/>
        <v>May</v>
      </c>
      <c r="D600" s="2" t="str">
        <f t="shared" si="19"/>
        <v>2018</v>
      </c>
      <c r="E600" s="2">
        <v>43439</v>
      </c>
      <c r="F600" t="s">
        <v>20</v>
      </c>
      <c r="G600" t="s">
        <v>2972</v>
      </c>
      <c r="H600" t="s">
        <v>2973</v>
      </c>
      <c r="I600" t="s">
        <v>23</v>
      </c>
      <c r="J600" t="s">
        <v>24</v>
      </c>
      <c r="K600" t="s">
        <v>36</v>
      </c>
      <c r="L600" t="s">
        <v>26</v>
      </c>
      <c r="M600" t="s">
        <v>83</v>
      </c>
      <c r="N600" t="s">
        <v>2974</v>
      </c>
      <c r="O600" t="s">
        <v>67</v>
      </c>
      <c r="P600" t="s">
        <v>92</v>
      </c>
      <c r="Q600" t="s">
        <v>2975</v>
      </c>
      <c r="R600">
        <v>1233.4000000000001</v>
      </c>
      <c r="S600">
        <v>5</v>
      </c>
      <c r="T600">
        <v>0.1</v>
      </c>
      <c r="U600">
        <v>37.479999999999997</v>
      </c>
    </row>
    <row r="601" spans="1:21" x14ac:dyDescent="0.35">
      <c r="A601" t="s">
        <v>2976</v>
      </c>
      <c r="B601" s="2">
        <v>43070</v>
      </c>
      <c r="C601" s="2" t="str">
        <f t="shared" si="18"/>
        <v>December</v>
      </c>
      <c r="D601" s="2" t="str">
        <f t="shared" si="19"/>
        <v>2017</v>
      </c>
      <c r="E601" s="2">
        <v>42928</v>
      </c>
      <c r="F601" t="s">
        <v>42</v>
      </c>
      <c r="G601" t="s">
        <v>2977</v>
      </c>
      <c r="H601" t="s">
        <v>2978</v>
      </c>
      <c r="I601" t="s">
        <v>55</v>
      </c>
      <c r="J601" t="s">
        <v>24</v>
      </c>
      <c r="K601" t="s">
        <v>133</v>
      </c>
      <c r="L601" t="s">
        <v>36</v>
      </c>
      <c r="M601" t="s">
        <v>57</v>
      </c>
      <c r="N601" t="s">
        <v>2979</v>
      </c>
      <c r="O601" t="s">
        <v>67</v>
      </c>
      <c r="P601" t="s">
        <v>92</v>
      </c>
      <c r="Q601" t="s">
        <v>2980</v>
      </c>
      <c r="R601">
        <v>1352.97</v>
      </c>
      <c r="S601">
        <v>2</v>
      </c>
      <c r="T601">
        <v>0</v>
      </c>
      <c r="U601">
        <v>78.11</v>
      </c>
    </row>
    <row r="602" spans="1:21" x14ac:dyDescent="0.35">
      <c r="A602" t="s">
        <v>2981</v>
      </c>
      <c r="B602" s="2">
        <v>43190</v>
      </c>
      <c r="C602" s="2" t="str">
        <f t="shared" si="18"/>
        <v>March</v>
      </c>
      <c r="D602" s="2" t="str">
        <f t="shared" si="19"/>
        <v>2018</v>
      </c>
      <c r="E602" s="2">
        <v>43163</v>
      </c>
      <c r="F602" t="s">
        <v>62</v>
      </c>
      <c r="G602" t="s">
        <v>2982</v>
      </c>
      <c r="H602" t="s">
        <v>2983</v>
      </c>
      <c r="I602" t="s">
        <v>23</v>
      </c>
      <c r="J602" t="s">
        <v>24</v>
      </c>
      <c r="K602" t="s">
        <v>73</v>
      </c>
      <c r="L602" t="s">
        <v>170</v>
      </c>
      <c r="M602" t="s">
        <v>74</v>
      </c>
      <c r="N602" t="s">
        <v>2984</v>
      </c>
      <c r="O602" t="s">
        <v>48</v>
      </c>
      <c r="P602" t="s">
        <v>76</v>
      </c>
      <c r="Q602" t="s">
        <v>2985</v>
      </c>
      <c r="R602">
        <v>509.55</v>
      </c>
      <c r="S602">
        <v>8</v>
      </c>
      <c r="T602">
        <v>0</v>
      </c>
      <c r="U602">
        <v>147.01</v>
      </c>
    </row>
    <row r="603" spans="1:21" x14ac:dyDescent="0.35">
      <c r="A603" t="s">
        <v>2986</v>
      </c>
      <c r="B603" s="2">
        <v>43504</v>
      </c>
      <c r="C603" s="2" t="str">
        <f t="shared" si="18"/>
        <v>February</v>
      </c>
      <c r="D603" s="2" t="str">
        <f t="shared" si="19"/>
        <v>2019</v>
      </c>
      <c r="E603" s="2">
        <v>43710</v>
      </c>
      <c r="F603" t="s">
        <v>62</v>
      </c>
      <c r="G603" t="s">
        <v>2987</v>
      </c>
      <c r="H603" t="s">
        <v>2988</v>
      </c>
      <c r="I603" t="s">
        <v>55</v>
      </c>
      <c r="J603" t="s">
        <v>24</v>
      </c>
      <c r="K603" t="s">
        <v>36</v>
      </c>
      <c r="L603" t="s">
        <v>170</v>
      </c>
      <c r="M603" t="s">
        <v>74</v>
      </c>
      <c r="N603" t="s">
        <v>2989</v>
      </c>
      <c r="O603" t="s">
        <v>29</v>
      </c>
      <c r="P603" t="s">
        <v>155</v>
      </c>
      <c r="Q603" t="s">
        <v>1371</v>
      </c>
      <c r="R603">
        <v>1229.8499999999999</v>
      </c>
      <c r="S603">
        <v>4</v>
      </c>
      <c r="T603">
        <v>0</v>
      </c>
      <c r="U603">
        <v>295.26</v>
      </c>
    </row>
    <row r="604" spans="1:21" x14ac:dyDescent="0.35">
      <c r="A604" t="s">
        <v>2990</v>
      </c>
      <c r="B604" s="2">
        <v>42739</v>
      </c>
      <c r="C604" s="2" t="str">
        <f t="shared" si="18"/>
        <v>January</v>
      </c>
      <c r="D604" s="2" t="str">
        <f t="shared" si="19"/>
        <v>2017</v>
      </c>
      <c r="E604" s="2">
        <v>42948</v>
      </c>
      <c r="F604" t="s">
        <v>42</v>
      </c>
      <c r="G604" t="s">
        <v>2991</v>
      </c>
      <c r="H604" t="s">
        <v>2992</v>
      </c>
      <c r="I604" t="s">
        <v>35</v>
      </c>
      <c r="J604" t="s">
        <v>24</v>
      </c>
      <c r="K604" t="s">
        <v>89</v>
      </c>
      <c r="L604" t="s">
        <v>37</v>
      </c>
      <c r="M604" t="s">
        <v>74</v>
      </c>
      <c r="N604" t="s">
        <v>2993</v>
      </c>
      <c r="O604" t="s">
        <v>67</v>
      </c>
      <c r="P604" t="s">
        <v>68</v>
      </c>
      <c r="Q604" t="s">
        <v>2994</v>
      </c>
      <c r="R604">
        <v>354.53</v>
      </c>
      <c r="S604">
        <v>4</v>
      </c>
      <c r="T604">
        <v>0</v>
      </c>
      <c r="U604">
        <v>47.59</v>
      </c>
    </row>
    <row r="605" spans="1:21" x14ac:dyDescent="0.35">
      <c r="A605" t="s">
        <v>2995</v>
      </c>
      <c r="B605" s="2">
        <v>42372</v>
      </c>
      <c r="C605" s="2" t="str">
        <f t="shared" si="18"/>
        <v>January</v>
      </c>
      <c r="D605" s="2" t="str">
        <f t="shared" si="19"/>
        <v>2016</v>
      </c>
      <c r="E605" s="2">
        <v>42644</v>
      </c>
      <c r="F605" t="s">
        <v>52</v>
      </c>
      <c r="G605" t="s">
        <v>2996</v>
      </c>
      <c r="H605" t="s">
        <v>2997</v>
      </c>
      <c r="I605" t="s">
        <v>23</v>
      </c>
      <c r="J605" t="s">
        <v>24</v>
      </c>
      <c r="K605" t="s">
        <v>89</v>
      </c>
      <c r="L605" t="s">
        <v>82</v>
      </c>
      <c r="M605" t="s">
        <v>83</v>
      </c>
      <c r="N605" t="s">
        <v>2998</v>
      </c>
      <c r="O605" t="s">
        <v>67</v>
      </c>
      <c r="P605" t="s">
        <v>117</v>
      </c>
      <c r="Q605" t="s">
        <v>2999</v>
      </c>
      <c r="R605">
        <v>1934.95</v>
      </c>
      <c r="S605">
        <v>2</v>
      </c>
      <c r="T605">
        <v>0</v>
      </c>
      <c r="U605">
        <v>368.3</v>
      </c>
    </row>
    <row r="606" spans="1:21" x14ac:dyDescent="0.35">
      <c r="A606" t="s">
        <v>3000</v>
      </c>
      <c r="B606" s="2">
        <v>42747</v>
      </c>
      <c r="C606" s="2" t="str">
        <f t="shared" si="18"/>
        <v>January</v>
      </c>
      <c r="D606" s="2" t="str">
        <f t="shared" si="19"/>
        <v>2017</v>
      </c>
      <c r="E606" s="2" t="s">
        <v>5961</v>
      </c>
      <c r="F606" t="s">
        <v>42</v>
      </c>
      <c r="G606" t="s">
        <v>3001</v>
      </c>
      <c r="H606" t="s">
        <v>3002</v>
      </c>
      <c r="I606" t="s">
        <v>55</v>
      </c>
      <c r="J606" t="s">
        <v>24</v>
      </c>
      <c r="K606" t="s">
        <v>81</v>
      </c>
      <c r="L606" t="s">
        <v>170</v>
      </c>
      <c r="M606" t="s">
        <v>83</v>
      </c>
      <c r="N606" t="s">
        <v>3003</v>
      </c>
      <c r="O606" t="s">
        <v>29</v>
      </c>
      <c r="P606" t="s">
        <v>110</v>
      </c>
      <c r="Q606" t="s">
        <v>140</v>
      </c>
      <c r="R606">
        <v>330.97</v>
      </c>
      <c r="S606">
        <v>1</v>
      </c>
      <c r="T606">
        <v>0.2</v>
      </c>
      <c r="U606">
        <v>93.96</v>
      </c>
    </row>
    <row r="607" spans="1:21" x14ac:dyDescent="0.35">
      <c r="A607" t="s">
        <v>3004</v>
      </c>
      <c r="B607" s="2">
        <v>43282</v>
      </c>
      <c r="C607" s="2" t="str">
        <f t="shared" si="18"/>
        <v>July</v>
      </c>
      <c r="D607" s="2" t="str">
        <f t="shared" si="19"/>
        <v>2018</v>
      </c>
      <c r="E607" s="2">
        <v>43227</v>
      </c>
      <c r="F607" t="s">
        <v>42</v>
      </c>
      <c r="G607" t="s">
        <v>3005</v>
      </c>
      <c r="H607" t="s">
        <v>3006</v>
      </c>
      <c r="I607" t="s">
        <v>23</v>
      </c>
      <c r="J607" t="s">
        <v>24</v>
      </c>
      <c r="K607" t="s">
        <v>45</v>
      </c>
      <c r="L607" t="s">
        <v>36</v>
      </c>
      <c r="M607" t="s">
        <v>27</v>
      </c>
      <c r="N607" t="s">
        <v>3007</v>
      </c>
      <c r="O607" t="s">
        <v>67</v>
      </c>
      <c r="P607" t="s">
        <v>68</v>
      </c>
      <c r="Q607" t="s">
        <v>3008</v>
      </c>
      <c r="R607">
        <v>192.42</v>
      </c>
      <c r="S607">
        <v>5</v>
      </c>
      <c r="T607">
        <v>0.4</v>
      </c>
      <c r="U607">
        <v>63.24</v>
      </c>
    </row>
    <row r="608" spans="1:21" x14ac:dyDescent="0.35">
      <c r="A608" t="s">
        <v>3009</v>
      </c>
      <c r="B608" s="2">
        <v>42878</v>
      </c>
      <c r="C608" s="2" t="str">
        <f t="shared" si="18"/>
        <v>May</v>
      </c>
      <c r="D608" s="2" t="str">
        <f t="shared" si="19"/>
        <v>2017</v>
      </c>
      <c r="E608" s="2" t="s">
        <v>6298</v>
      </c>
      <c r="F608" t="s">
        <v>62</v>
      </c>
      <c r="G608" t="s">
        <v>3010</v>
      </c>
      <c r="H608" t="s">
        <v>3011</v>
      </c>
      <c r="I608" t="s">
        <v>23</v>
      </c>
      <c r="J608" t="s">
        <v>24</v>
      </c>
      <c r="K608" t="s">
        <v>36</v>
      </c>
      <c r="L608" t="s">
        <v>65</v>
      </c>
      <c r="M608" t="s">
        <v>83</v>
      </c>
      <c r="N608" t="s">
        <v>3012</v>
      </c>
      <c r="O608" t="s">
        <v>29</v>
      </c>
      <c r="P608" t="s">
        <v>30</v>
      </c>
      <c r="Q608" t="s">
        <v>770</v>
      </c>
      <c r="R608">
        <v>89.04</v>
      </c>
      <c r="S608">
        <v>7</v>
      </c>
      <c r="T608">
        <v>0.4</v>
      </c>
      <c r="U608">
        <v>13.1</v>
      </c>
    </row>
    <row r="609" spans="1:21" x14ac:dyDescent="0.35">
      <c r="A609" t="s">
        <v>3013</v>
      </c>
      <c r="B609" s="2">
        <v>42617</v>
      </c>
      <c r="C609" s="2" t="str">
        <f t="shared" si="18"/>
        <v>September</v>
      </c>
      <c r="D609" s="2" t="str">
        <f t="shared" si="19"/>
        <v>2016</v>
      </c>
      <c r="E609" s="2">
        <v>42652</v>
      </c>
      <c r="F609" t="s">
        <v>20</v>
      </c>
      <c r="G609" t="s">
        <v>3014</v>
      </c>
      <c r="H609" t="s">
        <v>3015</v>
      </c>
      <c r="I609" t="s">
        <v>23</v>
      </c>
      <c r="J609" t="s">
        <v>24</v>
      </c>
      <c r="K609" t="s">
        <v>97</v>
      </c>
      <c r="L609" t="s">
        <v>26</v>
      </c>
      <c r="M609" t="s">
        <v>57</v>
      </c>
      <c r="N609" t="s">
        <v>3016</v>
      </c>
      <c r="O609" t="s">
        <v>29</v>
      </c>
      <c r="P609" t="s">
        <v>39</v>
      </c>
      <c r="Q609" t="s">
        <v>3017</v>
      </c>
      <c r="R609">
        <v>1515.87</v>
      </c>
      <c r="S609">
        <v>7</v>
      </c>
      <c r="T609">
        <v>0</v>
      </c>
      <c r="U609">
        <v>-348.83</v>
      </c>
    </row>
    <row r="610" spans="1:21" x14ac:dyDescent="0.35">
      <c r="A610" t="s">
        <v>3018</v>
      </c>
      <c r="B610" s="2">
        <v>43726</v>
      </c>
      <c r="C610" s="2" t="str">
        <f t="shared" si="18"/>
        <v>September</v>
      </c>
      <c r="D610" s="2" t="str">
        <f t="shared" si="19"/>
        <v>2019</v>
      </c>
      <c r="E610" s="2" t="s">
        <v>5953</v>
      </c>
      <c r="F610" t="s">
        <v>20</v>
      </c>
      <c r="G610" t="s">
        <v>3019</v>
      </c>
      <c r="H610" t="s">
        <v>561</v>
      </c>
      <c r="I610" t="s">
        <v>23</v>
      </c>
      <c r="J610" t="s">
        <v>24</v>
      </c>
      <c r="K610" t="s">
        <v>45</v>
      </c>
      <c r="L610" t="s">
        <v>36</v>
      </c>
      <c r="M610" t="s">
        <v>27</v>
      </c>
      <c r="N610" t="s">
        <v>3020</v>
      </c>
      <c r="O610" t="s">
        <v>48</v>
      </c>
      <c r="P610" t="s">
        <v>76</v>
      </c>
      <c r="Q610" t="s">
        <v>3021</v>
      </c>
      <c r="R610">
        <v>475.24</v>
      </c>
      <c r="S610">
        <v>4</v>
      </c>
      <c r="T610">
        <v>0</v>
      </c>
      <c r="U610">
        <v>32.5</v>
      </c>
    </row>
    <row r="611" spans="1:21" x14ac:dyDescent="0.35">
      <c r="A611" t="s">
        <v>3022</v>
      </c>
      <c r="B611" s="2">
        <v>43271</v>
      </c>
      <c r="C611" s="2" t="str">
        <f t="shared" si="18"/>
        <v>June</v>
      </c>
      <c r="D611" s="2" t="str">
        <f t="shared" si="19"/>
        <v>2018</v>
      </c>
      <c r="E611" s="2" t="s">
        <v>6319</v>
      </c>
      <c r="F611" t="s">
        <v>20</v>
      </c>
      <c r="G611" t="s">
        <v>3023</v>
      </c>
      <c r="H611" t="s">
        <v>3024</v>
      </c>
      <c r="I611" t="s">
        <v>55</v>
      </c>
      <c r="J611" t="s">
        <v>24</v>
      </c>
      <c r="K611" t="s">
        <v>89</v>
      </c>
      <c r="L611" t="s">
        <v>26</v>
      </c>
      <c r="M611" t="s">
        <v>27</v>
      </c>
      <c r="N611" t="s">
        <v>3025</v>
      </c>
      <c r="O611" t="s">
        <v>48</v>
      </c>
      <c r="P611" t="s">
        <v>49</v>
      </c>
      <c r="Q611" t="s">
        <v>3026</v>
      </c>
      <c r="R611">
        <v>47.3</v>
      </c>
      <c r="S611">
        <v>3</v>
      </c>
      <c r="T611">
        <v>0</v>
      </c>
      <c r="U611">
        <v>7.4</v>
      </c>
    </row>
    <row r="612" spans="1:21" x14ac:dyDescent="0.35">
      <c r="A612" t="s">
        <v>3027</v>
      </c>
      <c r="B612" s="2">
        <v>43102</v>
      </c>
      <c r="C612" s="2" t="str">
        <f t="shared" si="18"/>
        <v>January</v>
      </c>
      <c r="D612" s="2" t="str">
        <f t="shared" si="19"/>
        <v>2018</v>
      </c>
      <c r="E612" s="2">
        <v>43282</v>
      </c>
      <c r="F612" t="s">
        <v>52</v>
      </c>
      <c r="G612" t="s">
        <v>3028</v>
      </c>
      <c r="H612" t="s">
        <v>3029</v>
      </c>
      <c r="I612" t="s">
        <v>35</v>
      </c>
      <c r="J612" t="s">
        <v>24</v>
      </c>
      <c r="K612" t="s">
        <v>103</v>
      </c>
      <c r="L612" t="s">
        <v>115</v>
      </c>
      <c r="M612" t="s">
        <v>83</v>
      </c>
      <c r="N612" t="s">
        <v>3030</v>
      </c>
      <c r="O612" t="s">
        <v>67</v>
      </c>
      <c r="P612" t="s">
        <v>197</v>
      </c>
      <c r="Q612" t="s">
        <v>3031</v>
      </c>
      <c r="R612">
        <v>55.12</v>
      </c>
      <c r="S612">
        <v>10</v>
      </c>
      <c r="T612">
        <v>0</v>
      </c>
      <c r="U612">
        <v>11.72</v>
      </c>
    </row>
    <row r="613" spans="1:21" x14ac:dyDescent="0.35">
      <c r="A613" t="s">
        <v>3032</v>
      </c>
      <c r="B613" s="2">
        <v>42432</v>
      </c>
      <c r="C613" s="2" t="str">
        <f t="shared" si="18"/>
        <v>March</v>
      </c>
      <c r="D613" s="2" t="str">
        <f t="shared" si="19"/>
        <v>2016</v>
      </c>
      <c r="E613" s="2">
        <v>42493</v>
      </c>
      <c r="F613" t="s">
        <v>52</v>
      </c>
      <c r="G613" t="s">
        <v>3033</v>
      </c>
      <c r="H613" t="s">
        <v>3034</v>
      </c>
      <c r="I613" t="s">
        <v>35</v>
      </c>
      <c r="J613" t="s">
        <v>24</v>
      </c>
      <c r="K613" t="s">
        <v>45</v>
      </c>
      <c r="L613" t="s">
        <v>26</v>
      </c>
      <c r="M613" t="s">
        <v>83</v>
      </c>
      <c r="N613" t="s">
        <v>3035</v>
      </c>
      <c r="O613" t="s">
        <v>67</v>
      </c>
      <c r="P613" t="s">
        <v>197</v>
      </c>
      <c r="Q613" t="s">
        <v>3036</v>
      </c>
      <c r="R613">
        <v>50.03</v>
      </c>
      <c r="S613">
        <v>7</v>
      </c>
      <c r="T613">
        <v>0.1</v>
      </c>
      <c r="U613">
        <v>-8.8800000000000008</v>
      </c>
    </row>
    <row r="614" spans="1:21" x14ac:dyDescent="0.35">
      <c r="A614" t="s">
        <v>3037</v>
      </c>
      <c r="B614" s="2">
        <v>42741</v>
      </c>
      <c r="C614" s="2" t="str">
        <f t="shared" si="18"/>
        <v>January</v>
      </c>
      <c r="D614" s="2" t="str">
        <f t="shared" si="19"/>
        <v>2017</v>
      </c>
      <c r="E614" s="2" t="s">
        <v>6320</v>
      </c>
      <c r="F614" t="s">
        <v>62</v>
      </c>
      <c r="G614" t="s">
        <v>3038</v>
      </c>
      <c r="H614" t="s">
        <v>3039</v>
      </c>
      <c r="I614" t="s">
        <v>23</v>
      </c>
      <c r="J614" t="s">
        <v>24</v>
      </c>
      <c r="K614" t="s">
        <v>25</v>
      </c>
      <c r="L614" t="s">
        <v>56</v>
      </c>
      <c r="M614" t="s">
        <v>74</v>
      </c>
      <c r="N614" t="s">
        <v>3040</v>
      </c>
      <c r="O614" t="s">
        <v>29</v>
      </c>
      <c r="P614" t="s">
        <v>30</v>
      </c>
      <c r="Q614" t="s">
        <v>3041</v>
      </c>
      <c r="R614">
        <v>1505.37</v>
      </c>
      <c r="S614">
        <v>5</v>
      </c>
      <c r="T614">
        <v>0.3</v>
      </c>
      <c r="U614">
        <v>185.03</v>
      </c>
    </row>
    <row r="615" spans="1:21" x14ac:dyDescent="0.35">
      <c r="A615" t="s">
        <v>3042</v>
      </c>
      <c r="B615" s="2">
        <v>43569</v>
      </c>
      <c r="C615" s="2" t="str">
        <f t="shared" si="18"/>
        <v>April</v>
      </c>
      <c r="D615" s="2" t="str">
        <f t="shared" si="19"/>
        <v>2019</v>
      </c>
      <c r="E615" s="2" t="s">
        <v>6253</v>
      </c>
      <c r="F615" t="s">
        <v>42</v>
      </c>
      <c r="G615" t="s">
        <v>3043</v>
      </c>
      <c r="H615" t="s">
        <v>3044</v>
      </c>
      <c r="I615" t="s">
        <v>35</v>
      </c>
      <c r="J615" t="s">
        <v>24</v>
      </c>
      <c r="K615" t="s">
        <v>212</v>
      </c>
      <c r="L615" t="s">
        <v>90</v>
      </c>
      <c r="M615" t="s">
        <v>83</v>
      </c>
      <c r="N615" t="s">
        <v>3045</v>
      </c>
      <c r="O615" t="s">
        <v>29</v>
      </c>
      <c r="P615" t="s">
        <v>30</v>
      </c>
      <c r="Q615" t="s">
        <v>3046</v>
      </c>
      <c r="R615">
        <v>1655.26</v>
      </c>
      <c r="S615">
        <v>4</v>
      </c>
      <c r="T615">
        <v>0.2</v>
      </c>
      <c r="U615">
        <v>58.12</v>
      </c>
    </row>
    <row r="616" spans="1:21" x14ac:dyDescent="0.35">
      <c r="A616" t="s">
        <v>3047</v>
      </c>
      <c r="B616" s="2">
        <v>43654</v>
      </c>
      <c r="C616" s="2" t="str">
        <f t="shared" si="18"/>
        <v>July</v>
      </c>
      <c r="D616" s="2" t="str">
        <f t="shared" si="19"/>
        <v>2019</v>
      </c>
      <c r="E616" s="2" t="s">
        <v>5979</v>
      </c>
      <c r="F616" t="s">
        <v>42</v>
      </c>
      <c r="G616" t="s">
        <v>3048</v>
      </c>
      <c r="H616" t="s">
        <v>3049</v>
      </c>
      <c r="I616" t="s">
        <v>23</v>
      </c>
      <c r="J616" t="s">
        <v>24</v>
      </c>
      <c r="K616" t="s">
        <v>45</v>
      </c>
      <c r="L616" t="s">
        <v>56</v>
      </c>
      <c r="M616" t="s">
        <v>74</v>
      </c>
      <c r="N616" t="s">
        <v>3050</v>
      </c>
      <c r="O616" t="s">
        <v>29</v>
      </c>
      <c r="P616" t="s">
        <v>39</v>
      </c>
      <c r="Q616" t="s">
        <v>3051</v>
      </c>
      <c r="R616">
        <v>1581.32</v>
      </c>
      <c r="S616">
        <v>6</v>
      </c>
      <c r="T616">
        <v>0.3</v>
      </c>
      <c r="U616">
        <v>-220.74</v>
      </c>
    </row>
    <row r="617" spans="1:21" x14ac:dyDescent="0.35">
      <c r="A617" t="s">
        <v>3052</v>
      </c>
      <c r="B617" s="2">
        <v>42612</v>
      </c>
      <c r="C617" s="2" t="str">
        <f t="shared" si="18"/>
        <v>August</v>
      </c>
      <c r="D617" s="2" t="str">
        <f t="shared" si="19"/>
        <v>2016</v>
      </c>
      <c r="E617" s="2">
        <v>42622</v>
      </c>
      <c r="F617" t="s">
        <v>62</v>
      </c>
      <c r="G617" t="s">
        <v>3053</v>
      </c>
      <c r="H617" t="s">
        <v>3054</v>
      </c>
      <c r="I617" t="s">
        <v>35</v>
      </c>
      <c r="J617" t="s">
        <v>24</v>
      </c>
      <c r="K617" t="s">
        <v>97</v>
      </c>
      <c r="L617" t="s">
        <v>170</v>
      </c>
      <c r="M617" t="s">
        <v>74</v>
      </c>
      <c r="N617" t="s">
        <v>3055</v>
      </c>
      <c r="O617" t="s">
        <v>48</v>
      </c>
      <c r="P617" t="s">
        <v>59</v>
      </c>
      <c r="Q617" t="s">
        <v>3056</v>
      </c>
      <c r="R617">
        <v>1250.06</v>
      </c>
      <c r="S617">
        <v>6</v>
      </c>
      <c r="T617">
        <v>0</v>
      </c>
      <c r="U617">
        <v>514.32000000000005</v>
      </c>
    </row>
    <row r="618" spans="1:21" x14ac:dyDescent="0.35">
      <c r="A618" t="s">
        <v>3057</v>
      </c>
      <c r="B618" s="2">
        <v>42937</v>
      </c>
      <c r="C618" s="2" t="str">
        <f t="shared" si="18"/>
        <v>July</v>
      </c>
      <c r="D618" s="2" t="str">
        <f t="shared" si="19"/>
        <v>2017</v>
      </c>
      <c r="E618" s="2" t="s">
        <v>6321</v>
      </c>
      <c r="F618" t="s">
        <v>20</v>
      </c>
      <c r="G618" t="s">
        <v>3058</v>
      </c>
      <c r="H618" t="s">
        <v>3059</v>
      </c>
      <c r="I618" t="s">
        <v>23</v>
      </c>
      <c r="J618" t="s">
        <v>24</v>
      </c>
      <c r="K618" t="s">
        <v>73</v>
      </c>
      <c r="L618" t="s">
        <v>56</v>
      </c>
      <c r="M618" t="s">
        <v>74</v>
      </c>
      <c r="N618" t="s">
        <v>3060</v>
      </c>
      <c r="O618" t="s">
        <v>29</v>
      </c>
      <c r="P618" t="s">
        <v>30</v>
      </c>
      <c r="Q618" t="s">
        <v>3061</v>
      </c>
      <c r="R618">
        <v>1353.74</v>
      </c>
      <c r="S618">
        <v>2</v>
      </c>
      <c r="T618">
        <v>0.4</v>
      </c>
      <c r="U618">
        <v>580.02</v>
      </c>
    </row>
    <row r="619" spans="1:21" x14ac:dyDescent="0.35">
      <c r="A619" t="s">
        <v>3062</v>
      </c>
      <c r="B619" s="2">
        <v>43519</v>
      </c>
      <c r="C619" s="2" t="str">
        <f t="shared" si="18"/>
        <v>February</v>
      </c>
      <c r="D619" s="2" t="str">
        <f t="shared" si="19"/>
        <v>2019</v>
      </c>
      <c r="E619" s="2">
        <v>43499</v>
      </c>
      <c r="F619" t="s">
        <v>20</v>
      </c>
      <c r="G619" t="s">
        <v>3063</v>
      </c>
      <c r="H619" t="s">
        <v>1053</v>
      </c>
      <c r="I619" t="s">
        <v>23</v>
      </c>
      <c r="J619" t="s">
        <v>24</v>
      </c>
      <c r="K619" t="s">
        <v>36</v>
      </c>
      <c r="L619" t="s">
        <v>26</v>
      </c>
      <c r="M619" t="s">
        <v>27</v>
      </c>
      <c r="N619" t="s">
        <v>3064</v>
      </c>
      <c r="O619" t="s">
        <v>67</v>
      </c>
      <c r="P619" t="s">
        <v>197</v>
      </c>
      <c r="Q619" t="s">
        <v>3065</v>
      </c>
      <c r="R619">
        <v>1766.14</v>
      </c>
      <c r="S619">
        <v>7</v>
      </c>
      <c r="T619">
        <v>0.1</v>
      </c>
      <c r="U619">
        <v>-205.31</v>
      </c>
    </row>
    <row r="620" spans="1:21" x14ac:dyDescent="0.35">
      <c r="A620" t="s">
        <v>3066</v>
      </c>
      <c r="B620" s="2">
        <v>43806</v>
      </c>
      <c r="C620" s="2" t="str">
        <f t="shared" si="18"/>
        <v>December</v>
      </c>
      <c r="D620" s="2" t="str">
        <f t="shared" si="19"/>
        <v>2019</v>
      </c>
      <c r="E620" s="2" t="s">
        <v>6128</v>
      </c>
      <c r="F620" t="s">
        <v>20</v>
      </c>
      <c r="G620" t="s">
        <v>3067</v>
      </c>
      <c r="H620" t="s">
        <v>3068</v>
      </c>
      <c r="I620" t="s">
        <v>23</v>
      </c>
      <c r="J620" t="s">
        <v>24</v>
      </c>
      <c r="K620" t="s">
        <v>97</v>
      </c>
      <c r="L620" t="s">
        <v>82</v>
      </c>
      <c r="M620" t="s">
        <v>27</v>
      </c>
      <c r="N620" t="s">
        <v>3069</v>
      </c>
      <c r="O620" t="s">
        <v>29</v>
      </c>
      <c r="P620" t="s">
        <v>155</v>
      </c>
      <c r="Q620" t="s">
        <v>3070</v>
      </c>
      <c r="R620">
        <v>773.45</v>
      </c>
      <c r="S620">
        <v>10</v>
      </c>
      <c r="T620">
        <v>0.3</v>
      </c>
      <c r="U620">
        <v>-205.46</v>
      </c>
    </row>
    <row r="621" spans="1:21" x14ac:dyDescent="0.35">
      <c r="A621" t="s">
        <v>3071</v>
      </c>
      <c r="B621" s="2">
        <v>42815</v>
      </c>
      <c r="C621" s="2" t="str">
        <f t="shared" si="18"/>
        <v>March</v>
      </c>
      <c r="D621" s="2" t="str">
        <f t="shared" si="19"/>
        <v>2017</v>
      </c>
      <c r="E621" s="2" t="s">
        <v>6322</v>
      </c>
      <c r="F621" t="s">
        <v>42</v>
      </c>
      <c r="G621" t="s">
        <v>3072</v>
      </c>
      <c r="H621" t="s">
        <v>3073</v>
      </c>
      <c r="I621" t="s">
        <v>23</v>
      </c>
      <c r="J621" t="s">
        <v>24</v>
      </c>
      <c r="K621" t="s">
        <v>25</v>
      </c>
      <c r="L621" t="s">
        <v>36</v>
      </c>
      <c r="M621" t="s">
        <v>83</v>
      </c>
      <c r="N621" t="s">
        <v>3074</v>
      </c>
      <c r="O621" t="s">
        <v>29</v>
      </c>
      <c r="P621" t="s">
        <v>110</v>
      </c>
      <c r="Q621" t="s">
        <v>3075</v>
      </c>
      <c r="R621">
        <v>623.35</v>
      </c>
      <c r="S621">
        <v>7</v>
      </c>
      <c r="T621">
        <v>0.4</v>
      </c>
      <c r="U621">
        <v>58.32</v>
      </c>
    </row>
    <row r="622" spans="1:21" x14ac:dyDescent="0.35">
      <c r="A622" t="s">
        <v>3076</v>
      </c>
      <c r="B622" s="2">
        <v>42556</v>
      </c>
      <c r="C622" s="2" t="str">
        <f t="shared" si="18"/>
        <v>July</v>
      </c>
      <c r="D622" s="2" t="str">
        <f t="shared" si="19"/>
        <v>2016</v>
      </c>
      <c r="E622" s="2" t="s">
        <v>5980</v>
      </c>
      <c r="F622" t="s">
        <v>20</v>
      </c>
      <c r="G622" t="s">
        <v>3077</v>
      </c>
      <c r="H622" t="s">
        <v>3078</v>
      </c>
      <c r="I622" t="s">
        <v>23</v>
      </c>
      <c r="J622" t="s">
        <v>24</v>
      </c>
      <c r="K622" t="s">
        <v>73</v>
      </c>
      <c r="L622" t="s">
        <v>82</v>
      </c>
      <c r="M622" t="s">
        <v>74</v>
      </c>
      <c r="N622" t="s">
        <v>3079</v>
      </c>
      <c r="O622" t="s">
        <v>29</v>
      </c>
      <c r="P622" t="s">
        <v>39</v>
      </c>
      <c r="Q622" t="s">
        <v>3080</v>
      </c>
      <c r="R622">
        <v>175.86</v>
      </c>
      <c r="S622">
        <v>7</v>
      </c>
      <c r="T622">
        <v>0</v>
      </c>
      <c r="U622">
        <v>70.19</v>
      </c>
    </row>
    <row r="623" spans="1:21" x14ac:dyDescent="0.35">
      <c r="A623" t="s">
        <v>3081</v>
      </c>
      <c r="B623" s="2">
        <v>43775</v>
      </c>
      <c r="C623" s="2" t="str">
        <f t="shared" si="18"/>
        <v>November</v>
      </c>
      <c r="D623" s="2" t="str">
        <f t="shared" si="19"/>
        <v>2019</v>
      </c>
      <c r="E623" s="2">
        <v>43688</v>
      </c>
      <c r="F623" t="s">
        <v>42</v>
      </c>
      <c r="G623" t="s">
        <v>3082</v>
      </c>
      <c r="H623" t="s">
        <v>3083</v>
      </c>
      <c r="I623" t="s">
        <v>35</v>
      </c>
      <c r="J623" t="s">
        <v>24</v>
      </c>
      <c r="K623" t="s">
        <v>133</v>
      </c>
      <c r="L623" t="s">
        <v>82</v>
      </c>
      <c r="M623" t="s">
        <v>74</v>
      </c>
      <c r="N623" t="s">
        <v>3084</v>
      </c>
      <c r="O623" t="s">
        <v>67</v>
      </c>
      <c r="P623" t="s">
        <v>229</v>
      </c>
      <c r="Q623" t="s">
        <v>3085</v>
      </c>
      <c r="R623">
        <v>1942.65</v>
      </c>
      <c r="S623">
        <v>10</v>
      </c>
      <c r="T623">
        <v>0</v>
      </c>
      <c r="U623">
        <v>739.84</v>
      </c>
    </row>
    <row r="624" spans="1:21" x14ac:dyDescent="0.35">
      <c r="A624" t="s">
        <v>3086</v>
      </c>
      <c r="B624" s="2">
        <v>42839</v>
      </c>
      <c r="C624" s="2" t="str">
        <f t="shared" si="18"/>
        <v>April</v>
      </c>
      <c r="D624" s="2" t="str">
        <f t="shared" si="19"/>
        <v>2017</v>
      </c>
      <c r="E624" s="2" t="s">
        <v>6163</v>
      </c>
      <c r="F624" t="s">
        <v>62</v>
      </c>
      <c r="G624" t="s">
        <v>3087</v>
      </c>
      <c r="H624" t="s">
        <v>3088</v>
      </c>
      <c r="I624" t="s">
        <v>55</v>
      </c>
      <c r="J624" t="s">
        <v>24</v>
      </c>
      <c r="K624" t="s">
        <v>36</v>
      </c>
      <c r="L624" t="s">
        <v>170</v>
      </c>
      <c r="M624" t="s">
        <v>83</v>
      </c>
      <c r="N624" t="s">
        <v>3089</v>
      </c>
      <c r="O624" t="s">
        <v>48</v>
      </c>
      <c r="P624" t="s">
        <v>128</v>
      </c>
      <c r="Q624" t="s">
        <v>3090</v>
      </c>
      <c r="R624">
        <v>354.83</v>
      </c>
      <c r="S624">
        <v>3</v>
      </c>
      <c r="T624">
        <v>0</v>
      </c>
      <c r="U624">
        <v>-102.73</v>
      </c>
    </row>
    <row r="625" spans="1:21" x14ac:dyDescent="0.35">
      <c r="A625" t="s">
        <v>3091</v>
      </c>
      <c r="B625" s="2">
        <v>42486</v>
      </c>
      <c r="C625" s="2" t="str">
        <f t="shared" si="18"/>
        <v>April</v>
      </c>
      <c r="D625" s="2" t="str">
        <f t="shared" si="19"/>
        <v>2016</v>
      </c>
      <c r="E625" s="2">
        <v>42374</v>
      </c>
      <c r="F625" t="s">
        <v>52</v>
      </c>
      <c r="G625" t="s">
        <v>3092</v>
      </c>
      <c r="H625" t="s">
        <v>3093</v>
      </c>
      <c r="I625" t="s">
        <v>23</v>
      </c>
      <c r="J625" t="s">
        <v>24</v>
      </c>
      <c r="K625" t="s">
        <v>73</v>
      </c>
      <c r="L625" t="s">
        <v>170</v>
      </c>
      <c r="M625" t="s">
        <v>74</v>
      </c>
      <c r="N625" t="s">
        <v>3094</v>
      </c>
      <c r="O625" t="s">
        <v>67</v>
      </c>
      <c r="P625" t="s">
        <v>197</v>
      </c>
      <c r="Q625" t="s">
        <v>3095</v>
      </c>
      <c r="R625">
        <v>1776.83</v>
      </c>
      <c r="S625">
        <v>10</v>
      </c>
      <c r="T625">
        <v>0.3</v>
      </c>
      <c r="U625">
        <v>-90.75</v>
      </c>
    </row>
    <row r="626" spans="1:21" x14ac:dyDescent="0.35">
      <c r="A626" t="s">
        <v>3096</v>
      </c>
      <c r="B626" s="2">
        <v>42938</v>
      </c>
      <c r="C626" s="2" t="str">
        <f t="shared" si="18"/>
        <v>July</v>
      </c>
      <c r="D626" s="2" t="str">
        <f t="shared" si="19"/>
        <v>2017</v>
      </c>
      <c r="E626" s="2" t="s">
        <v>6237</v>
      </c>
      <c r="F626" t="s">
        <v>62</v>
      </c>
      <c r="G626" t="s">
        <v>3097</v>
      </c>
      <c r="H626" t="s">
        <v>1910</v>
      </c>
      <c r="I626" t="s">
        <v>35</v>
      </c>
      <c r="J626" t="s">
        <v>24</v>
      </c>
      <c r="K626" t="s">
        <v>212</v>
      </c>
      <c r="L626" t="s">
        <v>170</v>
      </c>
      <c r="M626" t="s">
        <v>83</v>
      </c>
      <c r="N626" t="s">
        <v>3098</v>
      </c>
      <c r="O626" t="s">
        <v>29</v>
      </c>
      <c r="P626" t="s">
        <v>110</v>
      </c>
      <c r="Q626" t="s">
        <v>1755</v>
      </c>
      <c r="R626">
        <v>1054.53</v>
      </c>
      <c r="S626">
        <v>9</v>
      </c>
      <c r="T626">
        <v>0</v>
      </c>
      <c r="U626">
        <v>-236.45</v>
      </c>
    </row>
    <row r="627" spans="1:21" x14ac:dyDescent="0.35">
      <c r="A627" t="s">
        <v>3099</v>
      </c>
      <c r="B627" s="2">
        <v>43738</v>
      </c>
      <c r="C627" s="2" t="str">
        <f t="shared" si="18"/>
        <v>September</v>
      </c>
      <c r="D627" s="2" t="str">
        <f t="shared" si="19"/>
        <v>2019</v>
      </c>
      <c r="E627" s="2">
        <v>43595</v>
      </c>
      <c r="F627" t="s">
        <v>62</v>
      </c>
      <c r="G627" t="s">
        <v>3100</v>
      </c>
      <c r="H627" t="s">
        <v>1704</v>
      </c>
      <c r="I627" t="s">
        <v>55</v>
      </c>
      <c r="J627" t="s">
        <v>24</v>
      </c>
      <c r="K627" t="s">
        <v>73</v>
      </c>
      <c r="L627" t="s">
        <v>90</v>
      </c>
      <c r="M627" t="s">
        <v>74</v>
      </c>
      <c r="N627" t="s">
        <v>3101</v>
      </c>
      <c r="O627" t="s">
        <v>29</v>
      </c>
      <c r="P627" t="s">
        <v>110</v>
      </c>
      <c r="Q627" t="s">
        <v>3102</v>
      </c>
      <c r="R627">
        <v>1879.37</v>
      </c>
      <c r="S627">
        <v>4</v>
      </c>
      <c r="T627">
        <v>0</v>
      </c>
      <c r="U627">
        <v>98.57</v>
      </c>
    </row>
    <row r="628" spans="1:21" x14ac:dyDescent="0.35">
      <c r="A628" t="s">
        <v>3103</v>
      </c>
      <c r="B628" s="2">
        <v>42754</v>
      </c>
      <c r="C628" s="2" t="str">
        <f t="shared" si="18"/>
        <v>January</v>
      </c>
      <c r="D628" s="2" t="str">
        <f t="shared" si="19"/>
        <v>2017</v>
      </c>
      <c r="E628" s="2" t="s">
        <v>5982</v>
      </c>
      <c r="F628" t="s">
        <v>52</v>
      </c>
      <c r="G628" t="s">
        <v>3104</v>
      </c>
      <c r="H628" t="s">
        <v>3105</v>
      </c>
      <c r="I628" t="s">
        <v>35</v>
      </c>
      <c r="J628" t="s">
        <v>24</v>
      </c>
      <c r="K628" t="s">
        <v>81</v>
      </c>
      <c r="L628" t="s">
        <v>170</v>
      </c>
      <c r="M628" t="s">
        <v>74</v>
      </c>
      <c r="N628" t="s">
        <v>3106</v>
      </c>
      <c r="O628" t="s">
        <v>67</v>
      </c>
      <c r="P628" t="s">
        <v>92</v>
      </c>
      <c r="Q628" t="s">
        <v>3107</v>
      </c>
      <c r="R628">
        <v>629.95000000000005</v>
      </c>
      <c r="S628">
        <v>6</v>
      </c>
      <c r="T628">
        <v>0.2</v>
      </c>
      <c r="U628">
        <v>40.89</v>
      </c>
    </row>
    <row r="629" spans="1:21" x14ac:dyDescent="0.35">
      <c r="A629" t="s">
        <v>3108</v>
      </c>
      <c r="B629" s="2">
        <v>42525</v>
      </c>
      <c r="C629" s="2" t="str">
        <f t="shared" si="18"/>
        <v>June</v>
      </c>
      <c r="D629" s="2" t="str">
        <f t="shared" si="19"/>
        <v>2016</v>
      </c>
      <c r="E629" s="2">
        <v>42527</v>
      </c>
      <c r="F629" t="s">
        <v>52</v>
      </c>
      <c r="G629" t="s">
        <v>3109</v>
      </c>
      <c r="H629" t="s">
        <v>3110</v>
      </c>
      <c r="I629" t="s">
        <v>55</v>
      </c>
      <c r="J629" t="s">
        <v>24</v>
      </c>
      <c r="K629" t="s">
        <v>97</v>
      </c>
      <c r="L629" t="s">
        <v>82</v>
      </c>
      <c r="M629" t="s">
        <v>83</v>
      </c>
      <c r="N629" t="s">
        <v>3111</v>
      </c>
      <c r="O629" t="s">
        <v>48</v>
      </c>
      <c r="P629" t="s">
        <v>128</v>
      </c>
      <c r="Q629" t="s">
        <v>3112</v>
      </c>
      <c r="R629">
        <v>1499.42</v>
      </c>
      <c r="S629">
        <v>7</v>
      </c>
      <c r="T629">
        <v>0.3</v>
      </c>
      <c r="U629">
        <v>-3.07</v>
      </c>
    </row>
    <row r="630" spans="1:21" x14ac:dyDescent="0.35">
      <c r="A630" t="s">
        <v>3113</v>
      </c>
      <c r="B630" s="2">
        <v>42422</v>
      </c>
      <c r="C630" s="2" t="str">
        <f t="shared" si="18"/>
        <v>February</v>
      </c>
      <c r="D630" s="2" t="str">
        <f t="shared" si="19"/>
        <v>2016</v>
      </c>
      <c r="E630" s="2" t="s">
        <v>5994</v>
      </c>
      <c r="F630" t="s">
        <v>52</v>
      </c>
      <c r="G630" t="s">
        <v>3114</v>
      </c>
      <c r="H630" t="s">
        <v>3115</v>
      </c>
      <c r="I630" t="s">
        <v>35</v>
      </c>
      <c r="J630" t="s">
        <v>24</v>
      </c>
      <c r="K630" t="s">
        <v>81</v>
      </c>
      <c r="L630" t="s">
        <v>115</v>
      </c>
      <c r="M630" t="s">
        <v>57</v>
      </c>
      <c r="N630" t="s">
        <v>3116</v>
      </c>
      <c r="O630" t="s">
        <v>67</v>
      </c>
      <c r="P630" t="s">
        <v>117</v>
      </c>
      <c r="Q630" t="s">
        <v>3117</v>
      </c>
      <c r="R630">
        <v>1599.83</v>
      </c>
      <c r="S630">
        <v>1</v>
      </c>
      <c r="T630">
        <v>0</v>
      </c>
      <c r="U630">
        <v>106.54</v>
      </c>
    </row>
    <row r="631" spans="1:21" x14ac:dyDescent="0.35">
      <c r="A631" t="s">
        <v>3118</v>
      </c>
      <c r="B631" s="2">
        <v>42618</v>
      </c>
      <c r="C631" s="2" t="str">
        <f t="shared" si="18"/>
        <v>September</v>
      </c>
      <c r="D631" s="2" t="str">
        <f t="shared" si="19"/>
        <v>2016</v>
      </c>
      <c r="E631" s="2" t="s">
        <v>6296</v>
      </c>
      <c r="F631" t="s">
        <v>52</v>
      </c>
      <c r="G631" t="s">
        <v>3119</v>
      </c>
      <c r="H631" t="s">
        <v>3120</v>
      </c>
      <c r="I631" t="s">
        <v>35</v>
      </c>
      <c r="J631" t="s">
        <v>24</v>
      </c>
      <c r="K631" t="s">
        <v>89</v>
      </c>
      <c r="L631" t="s">
        <v>46</v>
      </c>
      <c r="M631" t="s">
        <v>74</v>
      </c>
      <c r="N631" t="s">
        <v>3121</v>
      </c>
      <c r="O631" t="s">
        <v>48</v>
      </c>
      <c r="P631" t="s">
        <v>49</v>
      </c>
      <c r="Q631" t="s">
        <v>3122</v>
      </c>
      <c r="R631">
        <v>129.44</v>
      </c>
      <c r="S631">
        <v>4</v>
      </c>
      <c r="T631">
        <v>0</v>
      </c>
      <c r="U631">
        <v>-13.51</v>
      </c>
    </row>
    <row r="632" spans="1:21" x14ac:dyDescent="0.35">
      <c r="A632" t="s">
        <v>3123</v>
      </c>
      <c r="B632" s="2">
        <v>43336</v>
      </c>
      <c r="C632" s="2" t="str">
        <f t="shared" si="18"/>
        <v>August</v>
      </c>
      <c r="D632" s="2" t="str">
        <f t="shared" si="19"/>
        <v>2018</v>
      </c>
      <c r="E632" s="2" t="s">
        <v>5962</v>
      </c>
      <c r="F632" t="s">
        <v>52</v>
      </c>
      <c r="G632" t="s">
        <v>3124</v>
      </c>
      <c r="H632" t="s">
        <v>3125</v>
      </c>
      <c r="I632" t="s">
        <v>55</v>
      </c>
      <c r="J632" t="s">
        <v>24</v>
      </c>
      <c r="K632" t="s">
        <v>103</v>
      </c>
      <c r="L632" t="s">
        <v>115</v>
      </c>
      <c r="M632" t="s">
        <v>27</v>
      </c>
      <c r="N632" t="s">
        <v>3126</v>
      </c>
      <c r="O632" t="s">
        <v>29</v>
      </c>
      <c r="P632" t="s">
        <v>110</v>
      </c>
      <c r="Q632" t="s">
        <v>3127</v>
      </c>
      <c r="R632">
        <v>1454.82</v>
      </c>
      <c r="S632">
        <v>4</v>
      </c>
      <c r="T632">
        <v>0.2</v>
      </c>
      <c r="U632">
        <v>72.75</v>
      </c>
    </row>
    <row r="633" spans="1:21" x14ac:dyDescent="0.35">
      <c r="A633" t="s">
        <v>3128</v>
      </c>
      <c r="B633" s="2">
        <v>43516</v>
      </c>
      <c r="C633" s="2" t="str">
        <f t="shared" si="18"/>
        <v>February</v>
      </c>
      <c r="D633" s="2" t="str">
        <f t="shared" si="19"/>
        <v>2019</v>
      </c>
      <c r="E633" s="2" t="s">
        <v>6323</v>
      </c>
      <c r="F633" t="s">
        <v>42</v>
      </c>
      <c r="G633" t="s">
        <v>3129</v>
      </c>
      <c r="H633" t="s">
        <v>3130</v>
      </c>
      <c r="I633" t="s">
        <v>55</v>
      </c>
      <c r="J633" t="s">
        <v>24</v>
      </c>
      <c r="K633" t="s">
        <v>45</v>
      </c>
      <c r="L633" t="s">
        <v>56</v>
      </c>
      <c r="M633" t="s">
        <v>74</v>
      </c>
      <c r="N633" t="s">
        <v>3131</v>
      </c>
      <c r="O633" t="s">
        <v>29</v>
      </c>
      <c r="P633" t="s">
        <v>110</v>
      </c>
      <c r="Q633" t="s">
        <v>3132</v>
      </c>
      <c r="R633">
        <v>1188.42</v>
      </c>
      <c r="S633">
        <v>8</v>
      </c>
      <c r="T633">
        <v>0</v>
      </c>
      <c r="U633">
        <v>372.68</v>
      </c>
    </row>
    <row r="634" spans="1:21" x14ac:dyDescent="0.35">
      <c r="A634" t="s">
        <v>3133</v>
      </c>
      <c r="B634" s="2">
        <v>42438</v>
      </c>
      <c r="C634" s="2" t="str">
        <f t="shared" si="18"/>
        <v>March</v>
      </c>
      <c r="D634" s="2" t="str">
        <f t="shared" si="19"/>
        <v>2016</v>
      </c>
      <c r="E634" s="2">
        <v>42677</v>
      </c>
      <c r="F634" t="s">
        <v>42</v>
      </c>
      <c r="G634" t="s">
        <v>3134</v>
      </c>
      <c r="H634" t="s">
        <v>3135</v>
      </c>
      <c r="I634" t="s">
        <v>55</v>
      </c>
      <c r="J634" t="s">
        <v>24</v>
      </c>
      <c r="K634" t="s">
        <v>81</v>
      </c>
      <c r="L634" t="s">
        <v>115</v>
      </c>
      <c r="M634" t="s">
        <v>83</v>
      </c>
      <c r="N634" t="s">
        <v>3136</v>
      </c>
      <c r="O634" t="s">
        <v>67</v>
      </c>
      <c r="P634" t="s">
        <v>229</v>
      </c>
      <c r="Q634" t="s">
        <v>3085</v>
      </c>
      <c r="R634">
        <v>688.25</v>
      </c>
      <c r="S634">
        <v>8</v>
      </c>
      <c r="T634">
        <v>0</v>
      </c>
      <c r="U634">
        <v>-75.03</v>
      </c>
    </row>
    <row r="635" spans="1:21" x14ac:dyDescent="0.35">
      <c r="A635" t="s">
        <v>3137</v>
      </c>
      <c r="B635" s="2">
        <v>42548</v>
      </c>
      <c r="C635" s="2" t="str">
        <f t="shared" si="18"/>
        <v>June</v>
      </c>
      <c r="D635" s="2" t="str">
        <f t="shared" si="19"/>
        <v>2016</v>
      </c>
      <c r="E635" s="2" t="s">
        <v>6118</v>
      </c>
      <c r="F635" t="s">
        <v>20</v>
      </c>
      <c r="G635" t="s">
        <v>3138</v>
      </c>
      <c r="H635" t="s">
        <v>3139</v>
      </c>
      <c r="I635" t="s">
        <v>55</v>
      </c>
      <c r="J635" t="s">
        <v>24</v>
      </c>
      <c r="K635" t="s">
        <v>89</v>
      </c>
      <c r="L635" t="s">
        <v>37</v>
      </c>
      <c r="M635" t="s">
        <v>27</v>
      </c>
      <c r="N635" t="s">
        <v>3140</v>
      </c>
      <c r="O635" t="s">
        <v>48</v>
      </c>
      <c r="P635" t="s">
        <v>76</v>
      </c>
      <c r="Q635" t="s">
        <v>1854</v>
      </c>
      <c r="R635">
        <v>1032.6099999999999</v>
      </c>
      <c r="S635">
        <v>5</v>
      </c>
      <c r="T635">
        <v>0</v>
      </c>
      <c r="U635">
        <v>269.95</v>
      </c>
    </row>
    <row r="636" spans="1:21" x14ac:dyDescent="0.35">
      <c r="A636" t="s">
        <v>3141</v>
      </c>
      <c r="B636" s="2">
        <v>43278</v>
      </c>
      <c r="C636" s="2" t="str">
        <f t="shared" si="18"/>
        <v>June</v>
      </c>
      <c r="D636" s="2" t="str">
        <f t="shared" si="19"/>
        <v>2018</v>
      </c>
      <c r="E636" s="2">
        <v>43227</v>
      </c>
      <c r="F636" t="s">
        <v>20</v>
      </c>
      <c r="G636" t="s">
        <v>3142</v>
      </c>
      <c r="H636" t="s">
        <v>556</v>
      </c>
      <c r="I636" t="s">
        <v>35</v>
      </c>
      <c r="J636" t="s">
        <v>24</v>
      </c>
      <c r="K636" t="s">
        <v>89</v>
      </c>
      <c r="L636" t="s">
        <v>26</v>
      </c>
      <c r="M636" t="s">
        <v>74</v>
      </c>
      <c r="N636" t="s">
        <v>3143</v>
      </c>
      <c r="O636" t="s">
        <v>29</v>
      </c>
      <c r="P636" t="s">
        <v>110</v>
      </c>
      <c r="Q636" t="s">
        <v>1472</v>
      </c>
      <c r="R636">
        <v>1417.72</v>
      </c>
      <c r="S636">
        <v>8</v>
      </c>
      <c r="T636">
        <v>0.2</v>
      </c>
      <c r="U636">
        <v>345.4</v>
      </c>
    </row>
    <row r="637" spans="1:21" x14ac:dyDescent="0.35">
      <c r="A637" t="s">
        <v>3144</v>
      </c>
      <c r="B637" s="2">
        <v>43094</v>
      </c>
      <c r="C637" s="2" t="str">
        <f t="shared" si="18"/>
        <v>December</v>
      </c>
      <c r="D637" s="2" t="str">
        <f t="shared" si="19"/>
        <v>2017</v>
      </c>
      <c r="E637" s="2">
        <v>43101</v>
      </c>
      <c r="F637" t="s">
        <v>42</v>
      </c>
      <c r="G637" t="s">
        <v>3145</v>
      </c>
      <c r="H637" t="s">
        <v>3146</v>
      </c>
      <c r="I637" t="s">
        <v>55</v>
      </c>
      <c r="J637" t="s">
        <v>24</v>
      </c>
      <c r="K637" t="s">
        <v>73</v>
      </c>
      <c r="L637" t="s">
        <v>37</v>
      </c>
      <c r="M637" t="s">
        <v>27</v>
      </c>
      <c r="N637" t="s">
        <v>3147</v>
      </c>
      <c r="O637" t="s">
        <v>29</v>
      </c>
      <c r="P637" t="s">
        <v>39</v>
      </c>
      <c r="Q637" t="s">
        <v>3017</v>
      </c>
      <c r="R637">
        <v>282.14</v>
      </c>
      <c r="S637">
        <v>10</v>
      </c>
      <c r="T637">
        <v>0.4</v>
      </c>
      <c r="U637">
        <v>-62.92</v>
      </c>
    </row>
    <row r="638" spans="1:21" x14ac:dyDescent="0.35">
      <c r="A638" t="s">
        <v>3148</v>
      </c>
      <c r="B638" s="2">
        <v>42871</v>
      </c>
      <c r="C638" s="2" t="str">
        <f t="shared" si="18"/>
        <v>May</v>
      </c>
      <c r="D638" s="2" t="str">
        <f t="shared" si="19"/>
        <v>2017</v>
      </c>
      <c r="E638" s="2" t="s">
        <v>6049</v>
      </c>
      <c r="F638" t="s">
        <v>62</v>
      </c>
      <c r="G638" t="s">
        <v>3149</v>
      </c>
      <c r="H638" t="s">
        <v>3150</v>
      </c>
      <c r="I638" t="s">
        <v>35</v>
      </c>
      <c r="J638" t="s">
        <v>24</v>
      </c>
      <c r="K638" t="s">
        <v>25</v>
      </c>
      <c r="L638" t="s">
        <v>170</v>
      </c>
      <c r="M638" t="s">
        <v>74</v>
      </c>
      <c r="N638" t="s">
        <v>3151</v>
      </c>
      <c r="O638" t="s">
        <v>67</v>
      </c>
      <c r="P638" t="s">
        <v>350</v>
      </c>
      <c r="Q638" t="s">
        <v>3152</v>
      </c>
      <c r="R638">
        <v>1036.42</v>
      </c>
      <c r="S638">
        <v>5</v>
      </c>
      <c r="T638">
        <v>0.1</v>
      </c>
      <c r="U638">
        <v>-298.95999999999998</v>
      </c>
    </row>
    <row r="639" spans="1:21" x14ac:dyDescent="0.35">
      <c r="A639" t="s">
        <v>3153</v>
      </c>
      <c r="B639" s="2">
        <v>43019</v>
      </c>
      <c r="C639" s="2" t="str">
        <f t="shared" si="18"/>
        <v>October</v>
      </c>
      <c r="D639" s="2" t="str">
        <f t="shared" si="19"/>
        <v>2017</v>
      </c>
      <c r="E639" s="2" t="s">
        <v>6324</v>
      </c>
      <c r="F639" t="s">
        <v>62</v>
      </c>
      <c r="G639" t="s">
        <v>3154</v>
      </c>
      <c r="H639" t="s">
        <v>3155</v>
      </c>
      <c r="I639" t="s">
        <v>23</v>
      </c>
      <c r="J639" t="s">
        <v>24</v>
      </c>
      <c r="K639" t="s">
        <v>103</v>
      </c>
      <c r="L639" t="s">
        <v>46</v>
      </c>
      <c r="M639" t="s">
        <v>27</v>
      </c>
      <c r="N639" t="s">
        <v>3156</v>
      </c>
      <c r="O639" t="s">
        <v>48</v>
      </c>
      <c r="P639" t="s">
        <v>49</v>
      </c>
      <c r="Q639" t="s">
        <v>3157</v>
      </c>
      <c r="R639">
        <v>818.36</v>
      </c>
      <c r="S639">
        <v>7</v>
      </c>
      <c r="T639">
        <v>0</v>
      </c>
      <c r="U639">
        <v>304.83</v>
      </c>
    </row>
    <row r="640" spans="1:21" x14ac:dyDescent="0.35">
      <c r="A640" t="s">
        <v>3158</v>
      </c>
      <c r="B640" s="2">
        <v>42389</v>
      </c>
      <c r="C640" s="2" t="str">
        <f t="shared" si="18"/>
        <v>January</v>
      </c>
      <c r="D640" s="2" t="str">
        <f t="shared" si="19"/>
        <v>2016</v>
      </c>
      <c r="E640" s="2" t="s">
        <v>6284</v>
      </c>
      <c r="F640" t="s">
        <v>62</v>
      </c>
      <c r="G640" t="s">
        <v>3159</v>
      </c>
      <c r="H640" t="s">
        <v>3160</v>
      </c>
      <c r="I640" t="s">
        <v>23</v>
      </c>
      <c r="J640" t="s">
        <v>24</v>
      </c>
      <c r="K640" t="s">
        <v>133</v>
      </c>
      <c r="L640" t="s">
        <v>36</v>
      </c>
      <c r="M640" t="s">
        <v>27</v>
      </c>
      <c r="N640" t="s">
        <v>3161</v>
      </c>
      <c r="O640" t="s">
        <v>29</v>
      </c>
      <c r="P640" t="s">
        <v>110</v>
      </c>
      <c r="Q640" t="s">
        <v>3132</v>
      </c>
      <c r="R640">
        <v>1608.4</v>
      </c>
      <c r="S640">
        <v>5</v>
      </c>
      <c r="T640">
        <v>0</v>
      </c>
      <c r="U640">
        <v>125.22</v>
      </c>
    </row>
    <row r="641" spans="1:21" x14ac:dyDescent="0.35">
      <c r="A641" t="s">
        <v>3162</v>
      </c>
      <c r="B641" s="2">
        <v>43246</v>
      </c>
      <c r="C641" s="2" t="str">
        <f t="shared" si="18"/>
        <v>May</v>
      </c>
      <c r="D641" s="2" t="str">
        <f t="shared" si="19"/>
        <v>2018</v>
      </c>
      <c r="E641" s="2">
        <v>43226</v>
      </c>
      <c r="F641" t="s">
        <v>20</v>
      </c>
      <c r="G641" t="s">
        <v>3163</v>
      </c>
      <c r="H641" t="s">
        <v>3164</v>
      </c>
      <c r="I641" t="s">
        <v>35</v>
      </c>
      <c r="J641" t="s">
        <v>24</v>
      </c>
      <c r="K641" t="s">
        <v>97</v>
      </c>
      <c r="L641" t="s">
        <v>26</v>
      </c>
      <c r="M641" t="s">
        <v>57</v>
      </c>
      <c r="N641" t="s">
        <v>3165</v>
      </c>
      <c r="O641" t="s">
        <v>29</v>
      </c>
      <c r="P641" t="s">
        <v>39</v>
      </c>
      <c r="Q641" t="s">
        <v>3166</v>
      </c>
      <c r="R641">
        <v>514.87</v>
      </c>
      <c r="S641">
        <v>2</v>
      </c>
      <c r="T641">
        <v>0</v>
      </c>
      <c r="U641">
        <v>47.75</v>
      </c>
    </row>
    <row r="642" spans="1:21" x14ac:dyDescent="0.35">
      <c r="A642" t="s">
        <v>3167</v>
      </c>
      <c r="B642" s="2">
        <v>43207</v>
      </c>
      <c r="C642" s="2" t="str">
        <f t="shared" si="18"/>
        <v>April</v>
      </c>
      <c r="D642" s="2" t="str">
        <f t="shared" si="19"/>
        <v>2018</v>
      </c>
      <c r="E642" s="2" t="s">
        <v>6274</v>
      </c>
      <c r="F642" t="s">
        <v>52</v>
      </c>
      <c r="G642" t="s">
        <v>3168</v>
      </c>
      <c r="H642" t="s">
        <v>3169</v>
      </c>
      <c r="I642" t="s">
        <v>35</v>
      </c>
      <c r="J642" t="s">
        <v>24</v>
      </c>
      <c r="K642" t="s">
        <v>81</v>
      </c>
      <c r="L642" t="s">
        <v>65</v>
      </c>
      <c r="M642" t="s">
        <v>57</v>
      </c>
      <c r="N642" t="s">
        <v>3170</v>
      </c>
      <c r="O642" t="s">
        <v>29</v>
      </c>
      <c r="P642" t="s">
        <v>30</v>
      </c>
      <c r="Q642" t="s">
        <v>3171</v>
      </c>
      <c r="R642">
        <v>581.22</v>
      </c>
      <c r="S642">
        <v>3</v>
      </c>
      <c r="T642">
        <v>0</v>
      </c>
      <c r="U642">
        <v>115.08</v>
      </c>
    </row>
    <row r="643" spans="1:21" x14ac:dyDescent="0.35">
      <c r="A643" t="s">
        <v>3172</v>
      </c>
      <c r="B643" s="2">
        <v>42838</v>
      </c>
      <c r="C643" s="2" t="str">
        <f t="shared" ref="C643:C706" si="20">TEXT(B643,"mmmm")</f>
        <v>April</v>
      </c>
      <c r="D643" s="2" t="str">
        <f t="shared" ref="D643:D706" si="21">TEXT(B643,"yyyy")</f>
        <v>2017</v>
      </c>
      <c r="E643" s="2" t="s">
        <v>6325</v>
      </c>
      <c r="F643" t="s">
        <v>52</v>
      </c>
      <c r="G643" t="s">
        <v>3173</v>
      </c>
      <c r="H643" t="s">
        <v>3174</v>
      </c>
      <c r="I643" t="s">
        <v>35</v>
      </c>
      <c r="J643" t="s">
        <v>24</v>
      </c>
      <c r="K643" t="s">
        <v>89</v>
      </c>
      <c r="L643" t="s">
        <v>65</v>
      </c>
      <c r="M643" t="s">
        <v>57</v>
      </c>
      <c r="N643" t="s">
        <v>3175</v>
      </c>
      <c r="O643" t="s">
        <v>48</v>
      </c>
      <c r="P643" t="s">
        <v>49</v>
      </c>
      <c r="Q643" t="s">
        <v>3176</v>
      </c>
      <c r="R643">
        <v>961.65</v>
      </c>
      <c r="S643">
        <v>10</v>
      </c>
      <c r="T643">
        <v>0.3</v>
      </c>
      <c r="U643">
        <v>192.92</v>
      </c>
    </row>
    <row r="644" spans="1:21" x14ac:dyDescent="0.35">
      <c r="A644" t="s">
        <v>3177</v>
      </c>
      <c r="B644" s="2">
        <v>43817</v>
      </c>
      <c r="C644" s="2" t="str">
        <f t="shared" si="20"/>
        <v>December</v>
      </c>
      <c r="D644" s="2" t="str">
        <f t="shared" si="21"/>
        <v>2019</v>
      </c>
      <c r="E644" s="2" t="s">
        <v>5908</v>
      </c>
      <c r="F644" t="s">
        <v>52</v>
      </c>
      <c r="G644" t="s">
        <v>3178</v>
      </c>
      <c r="H644" t="s">
        <v>3179</v>
      </c>
      <c r="I644" t="s">
        <v>55</v>
      </c>
      <c r="J644" t="s">
        <v>24</v>
      </c>
      <c r="K644" t="s">
        <v>89</v>
      </c>
      <c r="L644" t="s">
        <v>65</v>
      </c>
      <c r="M644" t="s">
        <v>74</v>
      </c>
      <c r="N644" t="s">
        <v>3180</v>
      </c>
      <c r="O644" t="s">
        <v>67</v>
      </c>
      <c r="P644" t="s">
        <v>229</v>
      </c>
      <c r="Q644" t="s">
        <v>3181</v>
      </c>
      <c r="R644">
        <v>1001.81</v>
      </c>
      <c r="S644">
        <v>7</v>
      </c>
      <c r="T644">
        <v>0</v>
      </c>
      <c r="U644">
        <v>-252.2</v>
      </c>
    </row>
    <row r="645" spans="1:21" x14ac:dyDescent="0.35">
      <c r="A645" t="s">
        <v>3182</v>
      </c>
      <c r="B645" s="2">
        <v>43160</v>
      </c>
      <c r="C645" s="2" t="str">
        <f t="shared" si="20"/>
        <v>March</v>
      </c>
      <c r="D645" s="2" t="str">
        <f t="shared" si="21"/>
        <v>2018</v>
      </c>
      <c r="E645" s="2">
        <v>43223</v>
      </c>
      <c r="F645" t="s">
        <v>20</v>
      </c>
      <c r="G645" t="s">
        <v>3183</v>
      </c>
      <c r="H645" t="s">
        <v>3184</v>
      </c>
      <c r="I645" t="s">
        <v>23</v>
      </c>
      <c r="J645" t="s">
        <v>24</v>
      </c>
      <c r="K645" t="s">
        <v>97</v>
      </c>
      <c r="L645" t="s">
        <v>37</v>
      </c>
      <c r="M645" t="s">
        <v>74</v>
      </c>
      <c r="N645" t="s">
        <v>3185</v>
      </c>
      <c r="O645" t="s">
        <v>48</v>
      </c>
      <c r="P645" t="s">
        <v>128</v>
      </c>
      <c r="Q645" t="s">
        <v>3186</v>
      </c>
      <c r="R645">
        <v>1515.11</v>
      </c>
      <c r="S645">
        <v>1</v>
      </c>
      <c r="T645">
        <v>0.4</v>
      </c>
      <c r="U645">
        <v>568.78</v>
      </c>
    </row>
    <row r="646" spans="1:21" x14ac:dyDescent="0.35">
      <c r="A646" t="s">
        <v>3187</v>
      </c>
      <c r="B646" s="2">
        <v>43048</v>
      </c>
      <c r="C646" s="2" t="str">
        <f t="shared" si="20"/>
        <v>November</v>
      </c>
      <c r="D646" s="2" t="str">
        <f t="shared" si="21"/>
        <v>2017</v>
      </c>
      <c r="E646" s="2">
        <v>43050</v>
      </c>
      <c r="F646" t="s">
        <v>52</v>
      </c>
      <c r="G646" t="s">
        <v>3188</v>
      </c>
      <c r="H646" t="s">
        <v>3189</v>
      </c>
      <c r="I646" t="s">
        <v>23</v>
      </c>
      <c r="J646" t="s">
        <v>24</v>
      </c>
      <c r="K646" t="s">
        <v>212</v>
      </c>
      <c r="L646" t="s">
        <v>170</v>
      </c>
      <c r="M646" t="s">
        <v>27</v>
      </c>
      <c r="N646" t="s">
        <v>3190</v>
      </c>
      <c r="O646" t="s">
        <v>29</v>
      </c>
      <c r="P646" t="s">
        <v>110</v>
      </c>
      <c r="Q646" t="s">
        <v>3191</v>
      </c>
      <c r="R646">
        <v>1589.36</v>
      </c>
      <c r="S646">
        <v>10</v>
      </c>
      <c r="T646">
        <v>0.2</v>
      </c>
      <c r="U646">
        <v>-341.23</v>
      </c>
    </row>
    <row r="647" spans="1:21" x14ac:dyDescent="0.35">
      <c r="A647" t="s">
        <v>3192</v>
      </c>
      <c r="B647" s="2">
        <v>43538</v>
      </c>
      <c r="C647" s="2" t="str">
        <f t="shared" si="20"/>
        <v>March</v>
      </c>
      <c r="D647" s="2" t="str">
        <f t="shared" si="21"/>
        <v>2019</v>
      </c>
      <c r="E647" s="2" t="s">
        <v>6149</v>
      </c>
      <c r="F647" t="s">
        <v>20</v>
      </c>
      <c r="G647" t="s">
        <v>3193</v>
      </c>
      <c r="H647" t="s">
        <v>3194</v>
      </c>
      <c r="I647" t="s">
        <v>35</v>
      </c>
      <c r="J647" t="s">
        <v>24</v>
      </c>
      <c r="K647" t="s">
        <v>73</v>
      </c>
      <c r="L647" t="s">
        <v>90</v>
      </c>
      <c r="M647" t="s">
        <v>74</v>
      </c>
      <c r="N647" t="s">
        <v>3195</v>
      </c>
      <c r="O647" t="s">
        <v>29</v>
      </c>
      <c r="P647" t="s">
        <v>155</v>
      </c>
      <c r="Q647" t="s">
        <v>1428</v>
      </c>
      <c r="R647">
        <v>1765.76</v>
      </c>
      <c r="S647">
        <v>5</v>
      </c>
      <c r="T647">
        <v>0</v>
      </c>
      <c r="U647">
        <v>-302.14999999999998</v>
      </c>
    </row>
    <row r="648" spans="1:21" x14ac:dyDescent="0.35">
      <c r="A648" t="s">
        <v>3196</v>
      </c>
      <c r="B648" s="2">
        <v>43060</v>
      </c>
      <c r="C648" s="2" t="str">
        <f t="shared" si="20"/>
        <v>November</v>
      </c>
      <c r="D648" s="2" t="str">
        <f t="shared" si="21"/>
        <v>2017</v>
      </c>
      <c r="E648" s="2" t="s">
        <v>6130</v>
      </c>
      <c r="F648" t="s">
        <v>42</v>
      </c>
      <c r="G648" t="s">
        <v>3197</v>
      </c>
      <c r="H648" t="s">
        <v>3198</v>
      </c>
      <c r="I648" t="s">
        <v>35</v>
      </c>
      <c r="J648" t="s">
        <v>24</v>
      </c>
      <c r="K648" t="s">
        <v>89</v>
      </c>
      <c r="L648" t="s">
        <v>36</v>
      </c>
      <c r="M648" t="s">
        <v>27</v>
      </c>
      <c r="N648" t="s">
        <v>3199</v>
      </c>
      <c r="O648" t="s">
        <v>48</v>
      </c>
      <c r="P648" t="s">
        <v>49</v>
      </c>
      <c r="Q648" t="s">
        <v>3200</v>
      </c>
      <c r="R648">
        <v>1212.76</v>
      </c>
      <c r="S648">
        <v>8</v>
      </c>
      <c r="T648">
        <v>0</v>
      </c>
      <c r="U648">
        <v>123.63</v>
      </c>
    </row>
    <row r="649" spans="1:21" x14ac:dyDescent="0.35">
      <c r="A649" t="s">
        <v>3201</v>
      </c>
      <c r="B649" s="2">
        <v>42521</v>
      </c>
      <c r="C649" s="2" t="str">
        <f t="shared" si="20"/>
        <v>May</v>
      </c>
      <c r="D649" s="2" t="str">
        <f t="shared" si="21"/>
        <v>2016</v>
      </c>
      <c r="E649" s="2">
        <v>42406</v>
      </c>
      <c r="F649" t="s">
        <v>42</v>
      </c>
      <c r="G649" t="s">
        <v>3202</v>
      </c>
      <c r="H649" t="s">
        <v>3203</v>
      </c>
      <c r="I649" t="s">
        <v>35</v>
      </c>
      <c r="J649" t="s">
        <v>24</v>
      </c>
      <c r="K649" t="s">
        <v>73</v>
      </c>
      <c r="L649" t="s">
        <v>170</v>
      </c>
      <c r="M649" t="s">
        <v>83</v>
      </c>
      <c r="N649" t="s">
        <v>3204</v>
      </c>
      <c r="O649" t="s">
        <v>29</v>
      </c>
      <c r="P649" t="s">
        <v>39</v>
      </c>
      <c r="Q649" t="s">
        <v>2673</v>
      </c>
      <c r="R649">
        <v>1328.95</v>
      </c>
      <c r="S649">
        <v>8</v>
      </c>
      <c r="T649">
        <v>0</v>
      </c>
      <c r="U649">
        <v>-50.15</v>
      </c>
    </row>
    <row r="650" spans="1:21" x14ac:dyDescent="0.35">
      <c r="A650" t="s">
        <v>3205</v>
      </c>
      <c r="B650" s="2">
        <v>42447</v>
      </c>
      <c r="C650" s="2" t="str">
        <f t="shared" si="20"/>
        <v>March</v>
      </c>
      <c r="D650" s="2" t="str">
        <f t="shared" si="21"/>
        <v>2016</v>
      </c>
      <c r="E650" s="2" t="s">
        <v>6326</v>
      </c>
      <c r="F650" t="s">
        <v>62</v>
      </c>
      <c r="G650" t="s">
        <v>3206</v>
      </c>
      <c r="H650" t="s">
        <v>1500</v>
      </c>
      <c r="I650" t="s">
        <v>55</v>
      </c>
      <c r="J650" t="s">
        <v>24</v>
      </c>
      <c r="K650" t="s">
        <v>81</v>
      </c>
      <c r="L650" t="s">
        <v>82</v>
      </c>
      <c r="M650" t="s">
        <v>83</v>
      </c>
      <c r="N650" t="s">
        <v>3207</v>
      </c>
      <c r="O650" t="s">
        <v>48</v>
      </c>
      <c r="P650" t="s">
        <v>128</v>
      </c>
      <c r="Q650" t="s">
        <v>3208</v>
      </c>
      <c r="R650">
        <v>432.44</v>
      </c>
      <c r="S650">
        <v>5</v>
      </c>
      <c r="T650">
        <v>0.2</v>
      </c>
      <c r="U650">
        <v>187.25</v>
      </c>
    </row>
    <row r="651" spans="1:21" x14ac:dyDescent="0.35">
      <c r="A651" t="s">
        <v>3209</v>
      </c>
      <c r="B651" s="2">
        <v>43614</v>
      </c>
      <c r="C651" s="2" t="str">
        <f t="shared" si="20"/>
        <v>May</v>
      </c>
      <c r="D651" s="2" t="str">
        <f t="shared" si="21"/>
        <v>2019</v>
      </c>
      <c r="E651" s="2">
        <v>43530</v>
      </c>
      <c r="F651" t="s">
        <v>62</v>
      </c>
      <c r="G651" t="s">
        <v>3210</v>
      </c>
      <c r="H651" t="s">
        <v>3211</v>
      </c>
      <c r="I651" t="s">
        <v>23</v>
      </c>
      <c r="J651" t="s">
        <v>24</v>
      </c>
      <c r="K651" t="s">
        <v>103</v>
      </c>
      <c r="L651" t="s">
        <v>26</v>
      </c>
      <c r="M651" t="s">
        <v>74</v>
      </c>
      <c r="N651" t="s">
        <v>3212</v>
      </c>
      <c r="O651" t="s">
        <v>48</v>
      </c>
      <c r="P651" t="s">
        <v>76</v>
      </c>
      <c r="Q651" t="s">
        <v>3213</v>
      </c>
      <c r="R651">
        <v>92.03</v>
      </c>
      <c r="S651">
        <v>6</v>
      </c>
      <c r="T651">
        <v>0</v>
      </c>
      <c r="U651">
        <v>-10.28</v>
      </c>
    </row>
    <row r="652" spans="1:21" x14ac:dyDescent="0.35">
      <c r="A652" t="s">
        <v>3214</v>
      </c>
      <c r="B652" s="2">
        <v>42509</v>
      </c>
      <c r="C652" s="2" t="str">
        <f t="shared" si="20"/>
        <v>May</v>
      </c>
      <c r="D652" s="2" t="str">
        <f t="shared" si="21"/>
        <v>2016</v>
      </c>
      <c r="E652" s="2" t="s">
        <v>6228</v>
      </c>
      <c r="F652" t="s">
        <v>20</v>
      </c>
      <c r="G652" t="s">
        <v>3215</v>
      </c>
      <c r="H652" t="s">
        <v>3216</v>
      </c>
      <c r="I652" t="s">
        <v>55</v>
      </c>
      <c r="J652" t="s">
        <v>24</v>
      </c>
      <c r="K652" t="s">
        <v>89</v>
      </c>
      <c r="L652" t="s">
        <v>90</v>
      </c>
      <c r="M652" t="s">
        <v>83</v>
      </c>
      <c r="N652" t="s">
        <v>3217</v>
      </c>
      <c r="O652" t="s">
        <v>29</v>
      </c>
      <c r="P652" t="s">
        <v>30</v>
      </c>
      <c r="Q652" t="s">
        <v>3218</v>
      </c>
      <c r="R652">
        <v>1754.34</v>
      </c>
      <c r="S652">
        <v>10</v>
      </c>
      <c r="T652">
        <v>0.2</v>
      </c>
      <c r="U652">
        <v>764.17</v>
      </c>
    </row>
    <row r="653" spans="1:21" x14ac:dyDescent="0.35">
      <c r="A653" t="s">
        <v>3219</v>
      </c>
      <c r="B653" s="2">
        <v>43530</v>
      </c>
      <c r="C653" s="2" t="str">
        <f t="shared" si="20"/>
        <v>March</v>
      </c>
      <c r="D653" s="2" t="str">
        <f t="shared" si="21"/>
        <v>2019</v>
      </c>
      <c r="E653" s="2" t="s">
        <v>6074</v>
      </c>
      <c r="F653" t="s">
        <v>42</v>
      </c>
      <c r="G653" t="s">
        <v>3220</v>
      </c>
      <c r="H653" t="s">
        <v>3221</v>
      </c>
      <c r="I653" t="s">
        <v>35</v>
      </c>
      <c r="J653" t="s">
        <v>24</v>
      </c>
      <c r="K653" t="s">
        <v>81</v>
      </c>
      <c r="L653" t="s">
        <v>90</v>
      </c>
      <c r="M653" t="s">
        <v>27</v>
      </c>
      <c r="N653" t="s">
        <v>3222</v>
      </c>
      <c r="O653" t="s">
        <v>67</v>
      </c>
      <c r="P653" t="s">
        <v>350</v>
      </c>
      <c r="Q653" t="s">
        <v>3223</v>
      </c>
      <c r="R653">
        <v>951.87</v>
      </c>
      <c r="S653">
        <v>7</v>
      </c>
      <c r="T653">
        <v>0.4</v>
      </c>
      <c r="U653">
        <v>34.19</v>
      </c>
    </row>
    <row r="654" spans="1:21" x14ac:dyDescent="0.35">
      <c r="A654" t="s">
        <v>3224</v>
      </c>
      <c r="B654" s="2">
        <v>43516</v>
      </c>
      <c r="C654" s="2" t="str">
        <f t="shared" si="20"/>
        <v>February</v>
      </c>
      <c r="D654" s="2" t="str">
        <f t="shared" si="21"/>
        <v>2019</v>
      </c>
      <c r="E654" s="2" t="s">
        <v>5931</v>
      </c>
      <c r="F654" t="s">
        <v>52</v>
      </c>
      <c r="G654" t="s">
        <v>3225</v>
      </c>
      <c r="H654" t="s">
        <v>3226</v>
      </c>
      <c r="I654" t="s">
        <v>55</v>
      </c>
      <c r="J654" t="s">
        <v>24</v>
      </c>
      <c r="K654" t="s">
        <v>73</v>
      </c>
      <c r="L654" t="s">
        <v>90</v>
      </c>
      <c r="M654" t="s">
        <v>83</v>
      </c>
      <c r="N654" t="s">
        <v>3227</v>
      </c>
      <c r="O654" t="s">
        <v>67</v>
      </c>
      <c r="P654" t="s">
        <v>350</v>
      </c>
      <c r="Q654" t="s">
        <v>3228</v>
      </c>
      <c r="R654">
        <v>1211.25</v>
      </c>
      <c r="S654">
        <v>9</v>
      </c>
      <c r="T654">
        <v>0.2</v>
      </c>
      <c r="U654">
        <v>232.91</v>
      </c>
    </row>
    <row r="655" spans="1:21" x14ac:dyDescent="0.35">
      <c r="A655" t="s">
        <v>3229</v>
      </c>
      <c r="B655" s="2">
        <v>43512</v>
      </c>
      <c r="C655" s="2" t="str">
        <f t="shared" si="20"/>
        <v>February</v>
      </c>
      <c r="D655" s="2" t="str">
        <f t="shared" si="21"/>
        <v>2019</v>
      </c>
      <c r="E655" s="2" t="s">
        <v>6065</v>
      </c>
      <c r="F655" t="s">
        <v>62</v>
      </c>
      <c r="G655" t="s">
        <v>3230</v>
      </c>
      <c r="H655" t="s">
        <v>3231</v>
      </c>
      <c r="I655" t="s">
        <v>23</v>
      </c>
      <c r="J655" t="s">
        <v>24</v>
      </c>
      <c r="K655" t="s">
        <v>36</v>
      </c>
      <c r="L655" t="s">
        <v>115</v>
      </c>
      <c r="M655" t="s">
        <v>57</v>
      </c>
      <c r="N655" t="s">
        <v>3232</v>
      </c>
      <c r="O655" t="s">
        <v>48</v>
      </c>
      <c r="P655" t="s">
        <v>59</v>
      </c>
      <c r="Q655" t="s">
        <v>345</v>
      </c>
      <c r="R655">
        <v>1880.54</v>
      </c>
      <c r="S655">
        <v>3</v>
      </c>
      <c r="T655">
        <v>0</v>
      </c>
      <c r="U655">
        <v>221.49</v>
      </c>
    </row>
    <row r="656" spans="1:21" x14ac:dyDescent="0.35">
      <c r="A656" t="s">
        <v>3233</v>
      </c>
      <c r="B656" s="2">
        <v>43818</v>
      </c>
      <c r="C656" s="2" t="str">
        <f t="shared" si="20"/>
        <v>December</v>
      </c>
      <c r="D656" s="2" t="str">
        <f t="shared" si="21"/>
        <v>2019</v>
      </c>
      <c r="E656" s="2" t="s">
        <v>6327</v>
      </c>
      <c r="F656" t="s">
        <v>52</v>
      </c>
      <c r="G656" t="s">
        <v>3234</v>
      </c>
      <c r="H656" t="s">
        <v>3235</v>
      </c>
      <c r="I656" t="s">
        <v>35</v>
      </c>
      <c r="J656" t="s">
        <v>24</v>
      </c>
      <c r="K656" t="s">
        <v>45</v>
      </c>
      <c r="L656" t="s">
        <v>56</v>
      </c>
      <c r="M656" t="s">
        <v>57</v>
      </c>
      <c r="N656" t="s">
        <v>3236</v>
      </c>
      <c r="O656" t="s">
        <v>29</v>
      </c>
      <c r="P656" t="s">
        <v>155</v>
      </c>
      <c r="Q656" t="s">
        <v>3237</v>
      </c>
      <c r="R656">
        <v>1835.29</v>
      </c>
      <c r="S656">
        <v>9</v>
      </c>
      <c r="T656">
        <v>0.2</v>
      </c>
      <c r="U656">
        <v>802.18</v>
      </c>
    </row>
    <row r="657" spans="1:21" x14ac:dyDescent="0.35">
      <c r="A657" t="s">
        <v>3238</v>
      </c>
      <c r="B657" s="2">
        <v>43572</v>
      </c>
      <c r="C657" s="2" t="str">
        <f t="shared" si="20"/>
        <v>April</v>
      </c>
      <c r="D657" s="2" t="str">
        <f t="shared" si="21"/>
        <v>2019</v>
      </c>
      <c r="E657" s="2" t="s">
        <v>5936</v>
      </c>
      <c r="F657" t="s">
        <v>20</v>
      </c>
      <c r="G657" t="s">
        <v>3239</v>
      </c>
      <c r="H657" t="s">
        <v>3240</v>
      </c>
      <c r="I657" t="s">
        <v>35</v>
      </c>
      <c r="J657" t="s">
        <v>24</v>
      </c>
      <c r="K657" t="s">
        <v>36</v>
      </c>
      <c r="L657" t="s">
        <v>37</v>
      </c>
      <c r="M657" t="s">
        <v>74</v>
      </c>
      <c r="N657" t="s">
        <v>3241</v>
      </c>
      <c r="O657" t="s">
        <v>67</v>
      </c>
      <c r="P657" t="s">
        <v>197</v>
      </c>
      <c r="Q657" t="s">
        <v>3242</v>
      </c>
      <c r="R657">
        <v>1598.64</v>
      </c>
      <c r="S657">
        <v>7</v>
      </c>
      <c r="T657">
        <v>0</v>
      </c>
      <c r="U657">
        <v>393.07</v>
      </c>
    </row>
    <row r="658" spans="1:21" x14ac:dyDescent="0.35">
      <c r="A658" t="s">
        <v>3243</v>
      </c>
      <c r="B658" s="2">
        <v>43237</v>
      </c>
      <c r="C658" s="2" t="str">
        <f t="shared" si="20"/>
        <v>May</v>
      </c>
      <c r="D658" s="2" t="str">
        <f t="shared" si="21"/>
        <v>2018</v>
      </c>
      <c r="E658" s="2" t="s">
        <v>6328</v>
      </c>
      <c r="F658" t="s">
        <v>20</v>
      </c>
      <c r="G658" t="s">
        <v>3244</v>
      </c>
      <c r="H658" t="s">
        <v>3245</v>
      </c>
      <c r="I658" t="s">
        <v>35</v>
      </c>
      <c r="J658" t="s">
        <v>24</v>
      </c>
      <c r="K658" t="s">
        <v>73</v>
      </c>
      <c r="L658" t="s">
        <v>65</v>
      </c>
      <c r="M658" t="s">
        <v>74</v>
      </c>
      <c r="N658" t="s">
        <v>3246</v>
      </c>
      <c r="O658" t="s">
        <v>48</v>
      </c>
      <c r="P658" t="s">
        <v>49</v>
      </c>
      <c r="Q658" t="s">
        <v>3247</v>
      </c>
      <c r="R658">
        <v>173.46</v>
      </c>
      <c r="S658">
        <v>6</v>
      </c>
      <c r="T658">
        <v>0.2</v>
      </c>
      <c r="U658">
        <v>35.65</v>
      </c>
    </row>
    <row r="659" spans="1:21" x14ac:dyDescent="0.35">
      <c r="A659" t="s">
        <v>3248</v>
      </c>
      <c r="B659" s="2">
        <v>43153</v>
      </c>
      <c r="C659" s="2" t="str">
        <f t="shared" si="20"/>
        <v>February</v>
      </c>
      <c r="D659" s="2" t="str">
        <f t="shared" si="21"/>
        <v>2018</v>
      </c>
      <c r="E659" s="2" t="s">
        <v>5970</v>
      </c>
      <c r="F659" t="s">
        <v>62</v>
      </c>
      <c r="G659" t="s">
        <v>3249</v>
      </c>
      <c r="H659" t="s">
        <v>3250</v>
      </c>
      <c r="I659" t="s">
        <v>23</v>
      </c>
      <c r="J659" t="s">
        <v>24</v>
      </c>
      <c r="K659" t="s">
        <v>212</v>
      </c>
      <c r="L659" t="s">
        <v>46</v>
      </c>
      <c r="M659" t="s">
        <v>57</v>
      </c>
      <c r="N659" t="s">
        <v>3251</v>
      </c>
      <c r="O659" t="s">
        <v>48</v>
      </c>
      <c r="P659" t="s">
        <v>128</v>
      </c>
      <c r="Q659" t="s">
        <v>3252</v>
      </c>
      <c r="R659">
        <v>1968.65</v>
      </c>
      <c r="S659">
        <v>4</v>
      </c>
      <c r="T659">
        <v>0</v>
      </c>
      <c r="U659">
        <v>755.18</v>
      </c>
    </row>
    <row r="660" spans="1:21" x14ac:dyDescent="0.35">
      <c r="A660" t="s">
        <v>3253</v>
      </c>
      <c r="B660" s="2">
        <v>42722</v>
      </c>
      <c r="C660" s="2" t="str">
        <f t="shared" si="20"/>
        <v>December</v>
      </c>
      <c r="D660" s="2" t="str">
        <f t="shared" si="21"/>
        <v>2016</v>
      </c>
      <c r="E660" s="2" t="s">
        <v>5939</v>
      </c>
      <c r="F660" t="s">
        <v>62</v>
      </c>
      <c r="G660" t="s">
        <v>3254</v>
      </c>
      <c r="H660" t="s">
        <v>3255</v>
      </c>
      <c r="I660" t="s">
        <v>55</v>
      </c>
      <c r="J660" t="s">
        <v>24</v>
      </c>
      <c r="K660" t="s">
        <v>81</v>
      </c>
      <c r="L660" t="s">
        <v>36</v>
      </c>
      <c r="M660" t="s">
        <v>74</v>
      </c>
      <c r="N660" t="s">
        <v>3256</v>
      </c>
      <c r="O660" t="s">
        <v>67</v>
      </c>
      <c r="P660" t="s">
        <v>92</v>
      </c>
      <c r="Q660" t="s">
        <v>3257</v>
      </c>
      <c r="R660">
        <v>1246.83</v>
      </c>
      <c r="S660">
        <v>7</v>
      </c>
      <c r="T660">
        <v>0.2</v>
      </c>
      <c r="U660">
        <v>252.73</v>
      </c>
    </row>
    <row r="661" spans="1:21" x14ac:dyDescent="0.35">
      <c r="A661" t="s">
        <v>3258</v>
      </c>
      <c r="B661" s="2">
        <v>43395</v>
      </c>
      <c r="C661" s="2" t="str">
        <f t="shared" si="20"/>
        <v>October</v>
      </c>
      <c r="D661" s="2" t="str">
        <f t="shared" si="21"/>
        <v>2018</v>
      </c>
      <c r="E661" s="2" t="s">
        <v>6329</v>
      </c>
      <c r="F661" t="s">
        <v>52</v>
      </c>
      <c r="G661" t="s">
        <v>3259</v>
      </c>
      <c r="H661" t="s">
        <v>3260</v>
      </c>
      <c r="I661" t="s">
        <v>55</v>
      </c>
      <c r="J661" t="s">
        <v>24</v>
      </c>
      <c r="K661" t="s">
        <v>25</v>
      </c>
      <c r="L661" t="s">
        <v>46</v>
      </c>
      <c r="M661" t="s">
        <v>27</v>
      </c>
      <c r="N661" t="s">
        <v>3261</v>
      </c>
      <c r="O661" t="s">
        <v>67</v>
      </c>
      <c r="P661" t="s">
        <v>68</v>
      </c>
      <c r="Q661" t="s">
        <v>3262</v>
      </c>
      <c r="R661">
        <v>1653.9</v>
      </c>
      <c r="S661">
        <v>7</v>
      </c>
      <c r="T661">
        <v>0.4</v>
      </c>
      <c r="U661">
        <v>797.05</v>
      </c>
    </row>
    <row r="662" spans="1:21" x14ac:dyDescent="0.35">
      <c r="A662" t="s">
        <v>3263</v>
      </c>
      <c r="B662" s="2">
        <v>43315</v>
      </c>
      <c r="C662" s="2" t="str">
        <f t="shared" si="20"/>
        <v>August</v>
      </c>
      <c r="D662" s="2" t="str">
        <f t="shared" si="21"/>
        <v>2018</v>
      </c>
      <c r="E662" s="2">
        <v>43351</v>
      </c>
      <c r="F662" t="s">
        <v>62</v>
      </c>
      <c r="G662" t="s">
        <v>3264</v>
      </c>
      <c r="H662" t="s">
        <v>3135</v>
      </c>
      <c r="I662" t="s">
        <v>35</v>
      </c>
      <c r="J662" t="s">
        <v>24</v>
      </c>
      <c r="K662" t="s">
        <v>36</v>
      </c>
      <c r="L662" t="s">
        <v>115</v>
      </c>
      <c r="M662" t="s">
        <v>83</v>
      </c>
      <c r="N662" t="s">
        <v>3265</v>
      </c>
      <c r="O662" t="s">
        <v>48</v>
      </c>
      <c r="P662" t="s">
        <v>59</v>
      </c>
      <c r="Q662" t="s">
        <v>3266</v>
      </c>
      <c r="R662">
        <v>1059.93</v>
      </c>
      <c r="S662">
        <v>6</v>
      </c>
      <c r="T662">
        <v>0</v>
      </c>
      <c r="U662">
        <v>203.12</v>
      </c>
    </row>
    <row r="663" spans="1:21" x14ac:dyDescent="0.35">
      <c r="A663" t="s">
        <v>3267</v>
      </c>
      <c r="B663" s="2">
        <v>42914</v>
      </c>
      <c r="C663" s="2" t="str">
        <f t="shared" si="20"/>
        <v>June</v>
      </c>
      <c r="D663" s="2" t="str">
        <f t="shared" si="21"/>
        <v>2017</v>
      </c>
      <c r="E663" s="2">
        <v>42893</v>
      </c>
      <c r="F663" t="s">
        <v>42</v>
      </c>
      <c r="G663" t="s">
        <v>3268</v>
      </c>
      <c r="H663" t="s">
        <v>3269</v>
      </c>
      <c r="I663" t="s">
        <v>23</v>
      </c>
      <c r="J663" t="s">
        <v>24</v>
      </c>
      <c r="K663" t="s">
        <v>81</v>
      </c>
      <c r="L663" t="s">
        <v>82</v>
      </c>
      <c r="M663" t="s">
        <v>74</v>
      </c>
      <c r="N663" t="s">
        <v>3270</v>
      </c>
      <c r="O663" t="s">
        <v>29</v>
      </c>
      <c r="P663" t="s">
        <v>30</v>
      </c>
      <c r="Q663" t="s">
        <v>3271</v>
      </c>
      <c r="R663">
        <v>727.61</v>
      </c>
      <c r="S663">
        <v>8</v>
      </c>
      <c r="T663">
        <v>0.3</v>
      </c>
      <c r="U663">
        <v>-169.42</v>
      </c>
    </row>
    <row r="664" spans="1:21" x14ac:dyDescent="0.35">
      <c r="A664" t="s">
        <v>3272</v>
      </c>
      <c r="B664" s="2">
        <v>42958</v>
      </c>
      <c r="C664" s="2" t="str">
        <f t="shared" si="20"/>
        <v>August</v>
      </c>
      <c r="D664" s="2" t="str">
        <f t="shared" si="21"/>
        <v>2017</v>
      </c>
      <c r="E664" s="2" t="s">
        <v>6330</v>
      </c>
      <c r="F664" t="s">
        <v>20</v>
      </c>
      <c r="G664" t="s">
        <v>3273</v>
      </c>
      <c r="H664" t="s">
        <v>3274</v>
      </c>
      <c r="I664" t="s">
        <v>23</v>
      </c>
      <c r="J664" t="s">
        <v>24</v>
      </c>
      <c r="K664" t="s">
        <v>212</v>
      </c>
      <c r="L664" t="s">
        <v>56</v>
      </c>
      <c r="M664" t="s">
        <v>57</v>
      </c>
      <c r="N664" t="s">
        <v>3275</v>
      </c>
      <c r="O664" t="s">
        <v>29</v>
      </c>
      <c r="P664" t="s">
        <v>30</v>
      </c>
      <c r="Q664" t="s">
        <v>3276</v>
      </c>
      <c r="R664">
        <v>488.87</v>
      </c>
      <c r="S664">
        <v>2</v>
      </c>
      <c r="T664">
        <v>0</v>
      </c>
      <c r="U664">
        <v>71.64</v>
      </c>
    </row>
    <row r="665" spans="1:21" x14ac:dyDescent="0.35">
      <c r="A665" t="s">
        <v>3277</v>
      </c>
      <c r="B665" s="2">
        <v>43534</v>
      </c>
      <c r="C665" s="2" t="str">
        <f t="shared" si="20"/>
        <v>March</v>
      </c>
      <c r="D665" s="2" t="str">
        <f t="shared" si="21"/>
        <v>2019</v>
      </c>
      <c r="E665" s="2">
        <v>43772</v>
      </c>
      <c r="F665" t="s">
        <v>20</v>
      </c>
      <c r="G665" t="s">
        <v>3278</v>
      </c>
      <c r="H665" t="s">
        <v>3279</v>
      </c>
      <c r="I665" t="s">
        <v>23</v>
      </c>
      <c r="J665" t="s">
        <v>24</v>
      </c>
      <c r="K665" t="s">
        <v>81</v>
      </c>
      <c r="L665" t="s">
        <v>170</v>
      </c>
      <c r="M665" t="s">
        <v>27</v>
      </c>
      <c r="N665" t="s">
        <v>3280</v>
      </c>
      <c r="O665" t="s">
        <v>48</v>
      </c>
      <c r="P665" t="s">
        <v>49</v>
      </c>
      <c r="Q665" t="s">
        <v>3281</v>
      </c>
      <c r="R665">
        <v>1827.34</v>
      </c>
      <c r="S665">
        <v>5</v>
      </c>
      <c r="T665">
        <v>0.1</v>
      </c>
      <c r="U665">
        <v>-232.85</v>
      </c>
    </row>
    <row r="666" spans="1:21" x14ac:dyDescent="0.35">
      <c r="A666" t="s">
        <v>3282</v>
      </c>
      <c r="B666" s="2">
        <v>43070</v>
      </c>
      <c r="C666" s="2" t="str">
        <f t="shared" si="20"/>
        <v>December</v>
      </c>
      <c r="D666" s="2" t="str">
        <f t="shared" si="21"/>
        <v>2017</v>
      </c>
      <c r="E666" s="2">
        <v>42778</v>
      </c>
      <c r="F666" t="s">
        <v>62</v>
      </c>
      <c r="G666" t="s">
        <v>3283</v>
      </c>
      <c r="H666" t="s">
        <v>3284</v>
      </c>
      <c r="I666" t="s">
        <v>35</v>
      </c>
      <c r="J666" t="s">
        <v>24</v>
      </c>
      <c r="K666" t="s">
        <v>103</v>
      </c>
      <c r="L666" t="s">
        <v>37</v>
      </c>
      <c r="M666" t="s">
        <v>83</v>
      </c>
      <c r="N666" t="s">
        <v>3285</v>
      </c>
      <c r="O666" t="s">
        <v>29</v>
      </c>
      <c r="P666" t="s">
        <v>155</v>
      </c>
      <c r="Q666" t="s">
        <v>2962</v>
      </c>
      <c r="R666">
        <v>1727.57</v>
      </c>
      <c r="S666">
        <v>7</v>
      </c>
      <c r="T666">
        <v>0.2</v>
      </c>
      <c r="U666">
        <v>161.36000000000001</v>
      </c>
    </row>
    <row r="667" spans="1:21" x14ac:dyDescent="0.35">
      <c r="A667" t="s">
        <v>3286</v>
      </c>
      <c r="B667" s="2">
        <v>43194</v>
      </c>
      <c r="C667" s="2" t="str">
        <f t="shared" si="20"/>
        <v>April</v>
      </c>
      <c r="D667" s="2" t="str">
        <f t="shared" si="21"/>
        <v>2018</v>
      </c>
      <c r="E667" s="2">
        <v>43377</v>
      </c>
      <c r="F667" t="s">
        <v>62</v>
      </c>
      <c r="G667" t="s">
        <v>3287</v>
      </c>
      <c r="H667" t="s">
        <v>3288</v>
      </c>
      <c r="I667" t="s">
        <v>23</v>
      </c>
      <c r="J667" t="s">
        <v>24</v>
      </c>
      <c r="K667" t="s">
        <v>133</v>
      </c>
      <c r="L667" t="s">
        <v>90</v>
      </c>
      <c r="M667" t="s">
        <v>74</v>
      </c>
      <c r="N667" t="s">
        <v>3289</v>
      </c>
      <c r="O667" t="s">
        <v>48</v>
      </c>
      <c r="P667" t="s">
        <v>59</v>
      </c>
      <c r="Q667" t="s">
        <v>3290</v>
      </c>
      <c r="R667">
        <v>814.89</v>
      </c>
      <c r="S667">
        <v>4</v>
      </c>
      <c r="T667">
        <v>0</v>
      </c>
      <c r="U667">
        <v>376.79</v>
      </c>
    </row>
    <row r="668" spans="1:21" x14ac:dyDescent="0.35">
      <c r="A668" t="s">
        <v>3291</v>
      </c>
      <c r="B668" s="2">
        <v>43745</v>
      </c>
      <c r="C668" s="2" t="str">
        <f t="shared" si="20"/>
        <v>October</v>
      </c>
      <c r="D668" s="2" t="str">
        <f t="shared" si="21"/>
        <v>2019</v>
      </c>
      <c r="E668" s="2">
        <v>43748</v>
      </c>
      <c r="F668" t="s">
        <v>20</v>
      </c>
      <c r="G668" t="s">
        <v>3292</v>
      </c>
      <c r="H668" t="s">
        <v>3293</v>
      </c>
      <c r="I668" t="s">
        <v>35</v>
      </c>
      <c r="J668" t="s">
        <v>24</v>
      </c>
      <c r="K668" t="s">
        <v>212</v>
      </c>
      <c r="L668" t="s">
        <v>36</v>
      </c>
      <c r="M668" t="s">
        <v>83</v>
      </c>
      <c r="N668" t="s">
        <v>3294</v>
      </c>
      <c r="O668" t="s">
        <v>29</v>
      </c>
      <c r="P668" t="s">
        <v>30</v>
      </c>
      <c r="Q668" t="s">
        <v>3295</v>
      </c>
      <c r="R668">
        <v>1325.93</v>
      </c>
      <c r="S668">
        <v>10</v>
      </c>
      <c r="T668">
        <v>0</v>
      </c>
      <c r="U668">
        <v>-375.71</v>
      </c>
    </row>
    <row r="669" spans="1:21" x14ac:dyDescent="0.35">
      <c r="A669" t="s">
        <v>3296</v>
      </c>
      <c r="B669" s="2">
        <v>43243</v>
      </c>
      <c r="C669" s="2" t="str">
        <f t="shared" si="20"/>
        <v>May</v>
      </c>
      <c r="D669" s="2" t="str">
        <f t="shared" si="21"/>
        <v>2018</v>
      </c>
      <c r="E669" s="2">
        <v>43106</v>
      </c>
      <c r="F669" t="s">
        <v>62</v>
      </c>
      <c r="G669" t="s">
        <v>3297</v>
      </c>
      <c r="H669" t="s">
        <v>3298</v>
      </c>
      <c r="I669" t="s">
        <v>35</v>
      </c>
      <c r="J669" t="s">
        <v>24</v>
      </c>
      <c r="K669" t="s">
        <v>212</v>
      </c>
      <c r="L669" t="s">
        <v>37</v>
      </c>
      <c r="M669" t="s">
        <v>57</v>
      </c>
      <c r="N669" t="s">
        <v>3299</v>
      </c>
      <c r="O669" t="s">
        <v>29</v>
      </c>
      <c r="P669" t="s">
        <v>30</v>
      </c>
      <c r="Q669" t="s">
        <v>3300</v>
      </c>
      <c r="R669">
        <v>1513.34</v>
      </c>
      <c r="S669">
        <v>2</v>
      </c>
      <c r="T669">
        <v>0.2</v>
      </c>
      <c r="U669">
        <v>3.62</v>
      </c>
    </row>
    <row r="670" spans="1:21" x14ac:dyDescent="0.35">
      <c r="A670" t="s">
        <v>3301</v>
      </c>
      <c r="B670" s="2">
        <v>42588</v>
      </c>
      <c r="C670" s="2" t="str">
        <f t="shared" si="20"/>
        <v>August</v>
      </c>
      <c r="D670" s="2" t="str">
        <f t="shared" si="21"/>
        <v>2016</v>
      </c>
      <c r="E670" s="2" t="s">
        <v>6331</v>
      </c>
      <c r="F670" t="s">
        <v>42</v>
      </c>
      <c r="G670" t="s">
        <v>3302</v>
      </c>
      <c r="H670" t="s">
        <v>3303</v>
      </c>
      <c r="I670" t="s">
        <v>55</v>
      </c>
      <c r="J670" t="s">
        <v>24</v>
      </c>
      <c r="K670" t="s">
        <v>81</v>
      </c>
      <c r="L670" t="s">
        <v>26</v>
      </c>
      <c r="M670" t="s">
        <v>83</v>
      </c>
      <c r="N670" t="s">
        <v>3304</v>
      </c>
      <c r="O670" t="s">
        <v>48</v>
      </c>
      <c r="P670" t="s">
        <v>76</v>
      </c>
      <c r="Q670" t="s">
        <v>3305</v>
      </c>
      <c r="R670">
        <v>477.2</v>
      </c>
      <c r="S670">
        <v>4</v>
      </c>
      <c r="T670">
        <v>0.1</v>
      </c>
      <c r="U670">
        <v>-24.87</v>
      </c>
    </row>
    <row r="671" spans="1:21" x14ac:dyDescent="0.35">
      <c r="A671" t="s">
        <v>3306</v>
      </c>
      <c r="B671" s="2">
        <v>42790</v>
      </c>
      <c r="C671" s="2" t="str">
        <f t="shared" si="20"/>
        <v>February</v>
      </c>
      <c r="D671" s="2" t="str">
        <f t="shared" si="21"/>
        <v>2017</v>
      </c>
      <c r="E671" s="2">
        <v>42858</v>
      </c>
      <c r="F671" t="s">
        <v>62</v>
      </c>
      <c r="G671" t="s">
        <v>3307</v>
      </c>
      <c r="H671" t="s">
        <v>3308</v>
      </c>
      <c r="I671" t="s">
        <v>35</v>
      </c>
      <c r="J671" t="s">
        <v>24</v>
      </c>
      <c r="K671" t="s">
        <v>73</v>
      </c>
      <c r="L671" t="s">
        <v>90</v>
      </c>
      <c r="M671" t="s">
        <v>83</v>
      </c>
      <c r="N671" t="s">
        <v>3309</v>
      </c>
      <c r="O671" t="s">
        <v>48</v>
      </c>
      <c r="P671" t="s">
        <v>49</v>
      </c>
      <c r="Q671" t="s">
        <v>3310</v>
      </c>
      <c r="R671">
        <v>1838.04</v>
      </c>
      <c r="S671">
        <v>10</v>
      </c>
      <c r="T671">
        <v>0.4</v>
      </c>
      <c r="U671">
        <v>828.64</v>
      </c>
    </row>
    <row r="672" spans="1:21" x14ac:dyDescent="0.35">
      <c r="A672" t="s">
        <v>3311</v>
      </c>
      <c r="B672" s="2">
        <v>43254</v>
      </c>
      <c r="C672" s="2" t="str">
        <f t="shared" si="20"/>
        <v>June</v>
      </c>
      <c r="D672" s="2" t="str">
        <f t="shared" si="21"/>
        <v>2018</v>
      </c>
      <c r="E672" s="2" t="s">
        <v>6108</v>
      </c>
      <c r="F672" t="s">
        <v>52</v>
      </c>
      <c r="G672" t="s">
        <v>3312</v>
      </c>
      <c r="H672" t="s">
        <v>3313</v>
      </c>
      <c r="I672" t="s">
        <v>35</v>
      </c>
      <c r="J672" t="s">
        <v>24</v>
      </c>
      <c r="K672" t="s">
        <v>133</v>
      </c>
      <c r="L672" t="s">
        <v>170</v>
      </c>
      <c r="M672" t="s">
        <v>57</v>
      </c>
      <c r="N672" t="s">
        <v>3314</v>
      </c>
      <c r="O672" t="s">
        <v>29</v>
      </c>
      <c r="P672" t="s">
        <v>39</v>
      </c>
      <c r="Q672" t="s">
        <v>3315</v>
      </c>
      <c r="R672">
        <v>1920.79</v>
      </c>
      <c r="S672">
        <v>8</v>
      </c>
      <c r="T672">
        <v>0</v>
      </c>
      <c r="U672">
        <v>-286.20999999999998</v>
      </c>
    </row>
    <row r="673" spans="1:21" x14ac:dyDescent="0.35">
      <c r="A673" t="s">
        <v>3316</v>
      </c>
      <c r="B673" s="2">
        <v>42656</v>
      </c>
      <c r="C673" s="2" t="str">
        <f t="shared" si="20"/>
        <v>October</v>
      </c>
      <c r="D673" s="2" t="str">
        <f t="shared" si="21"/>
        <v>2016</v>
      </c>
      <c r="E673" s="2" t="s">
        <v>6332</v>
      </c>
      <c r="F673" t="s">
        <v>20</v>
      </c>
      <c r="G673" t="s">
        <v>3317</v>
      </c>
      <c r="H673" t="s">
        <v>3318</v>
      </c>
      <c r="I673" t="s">
        <v>55</v>
      </c>
      <c r="J673" t="s">
        <v>24</v>
      </c>
      <c r="K673" t="s">
        <v>81</v>
      </c>
      <c r="L673" t="s">
        <v>90</v>
      </c>
      <c r="M673" t="s">
        <v>74</v>
      </c>
      <c r="N673" t="s">
        <v>3319</v>
      </c>
      <c r="O673" t="s">
        <v>29</v>
      </c>
      <c r="P673" t="s">
        <v>30</v>
      </c>
      <c r="Q673" t="s">
        <v>3276</v>
      </c>
      <c r="R673">
        <v>191.64</v>
      </c>
      <c r="S673">
        <v>3</v>
      </c>
      <c r="T673">
        <v>0.4</v>
      </c>
      <c r="U673">
        <v>95.11</v>
      </c>
    </row>
    <row r="674" spans="1:21" x14ac:dyDescent="0.35">
      <c r="A674" t="s">
        <v>3320</v>
      </c>
      <c r="B674" s="2">
        <v>42854</v>
      </c>
      <c r="C674" s="2" t="str">
        <f t="shared" si="20"/>
        <v>April</v>
      </c>
      <c r="D674" s="2" t="str">
        <f t="shared" si="21"/>
        <v>2017</v>
      </c>
      <c r="E674" s="2">
        <v>42740</v>
      </c>
      <c r="F674" t="s">
        <v>52</v>
      </c>
      <c r="G674" t="s">
        <v>3321</v>
      </c>
      <c r="H674" t="s">
        <v>3322</v>
      </c>
      <c r="I674" t="s">
        <v>23</v>
      </c>
      <c r="J674" t="s">
        <v>24</v>
      </c>
      <c r="K674" t="s">
        <v>81</v>
      </c>
      <c r="L674" t="s">
        <v>37</v>
      </c>
      <c r="M674" t="s">
        <v>57</v>
      </c>
      <c r="N674" t="s">
        <v>3323</v>
      </c>
      <c r="O674" t="s">
        <v>29</v>
      </c>
      <c r="P674" t="s">
        <v>155</v>
      </c>
      <c r="Q674" t="s">
        <v>3324</v>
      </c>
      <c r="R674">
        <v>395.17</v>
      </c>
      <c r="S674">
        <v>7</v>
      </c>
      <c r="T674">
        <v>0.2</v>
      </c>
      <c r="U674">
        <v>63.41</v>
      </c>
    </row>
    <row r="675" spans="1:21" x14ac:dyDescent="0.35">
      <c r="A675" t="s">
        <v>3325</v>
      </c>
      <c r="B675" s="2">
        <v>43370</v>
      </c>
      <c r="C675" s="2" t="str">
        <f t="shared" si="20"/>
        <v>September</v>
      </c>
      <c r="D675" s="2" t="str">
        <f t="shared" si="21"/>
        <v>2018</v>
      </c>
      <c r="E675" s="2">
        <v>43200</v>
      </c>
      <c r="F675" t="s">
        <v>62</v>
      </c>
      <c r="G675" t="s">
        <v>3326</v>
      </c>
      <c r="H675" t="s">
        <v>443</v>
      </c>
      <c r="I675" t="s">
        <v>23</v>
      </c>
      <c r="J675" t="s">
        <v>24</v>
      </c>
      <c r="K675" t="s">
        <v>25</v>
      </c>
      <c r="L675" t="s">
        <v>90</v>
      </c>
      <c r="M675" t="s">
        <v>83</v>
      </c>
      <c r="N675" t="s">
        <v>3327</v>
      </c>
      <c r="O675" t="s">
        <v>67</v>
      </c>
      <c r="P675" t="s">
        <v>68</v>
      </c>
      <c r="Q675" t="s">
        <v>3328</v>
      </c>
      <c r="R675">
        <v>684.76</v>
      </c>
      <c r="S675">
        <v>10</v>
      </c>
      <c r="T675">
        <v>0</v>
      </c>
      <c r="U675">
        <v>269.24</v>
      </c>
    </row>
    <row r="676" spans="1:21" x14ac:dyDescent="0.35">
      <c r="A676" t="s">
        <v>3329</v>
      </c>
      <c r="B676" s="2">
        <v>42805</v>
      </c>
      <c r="C676" s="2" t="str">
        <f t="shared" si="20"/>
        <v>March</v>
      </c>
      <c r="D676" s="2" t="str">
        <f t="shared" si="21"/>
        <v>2017</v>
      </c>
      <c r="E676" s="2" t="s">
        <v>6333</v>
      </c>
      <c r="F676" t="s">
        <v>52</v>
      </c>
      <c r="G676" t="s">
        <v>3330</v>
      </c>
      <c r="H676" t="s">
        <v>3331</v>
      </c>
      <c r="I676" t="s">
        <v>35</v>
      </c>
      <c r="J676" t="s">
        <v>24</v>
      </c>
      <c r="K676" t="s">
        <v>133</v>
      </c>
      <c r="L676" t="s">
        <v>170</v>
      </c>
      <c r="M676" t="s">
        <v>27</v>
      </c>
      <c r="N676" t="s">
        <v>3332</v>
      </c>
      <c r="O676" t="s">
        <v>48</v>
      </c>
      <c r="P676" t="s">
        <v>76</v>
      </c>
      <c r="Q676" t="s">
        <v>3333</v>
      </c>
      <c r="R676">
        <v>768.73</v>
      </c>
      <c r="S676">
        <v>4</v>
      </c>
      <c r="T676">
        <v>0.3</v>
      </c>
      <c r="U676">
        <v>282.94</v>
      </c>
    </row>
    <row r="677" spans="1:21" x14ac:dyDescent="0.35">
      <c r="A677" t="s">
        <v>3334</v>
      </c>
      <c r="B677" s="2">
        <v>43259</v>
      </c>
      <c r="C677" s="2" t="str">
        <f t="shared" si="20"/>
        <v>June</v>
      </c>
      <c r="D677" s="2" t="str">
        <f t="shared" si="21"/>
        <v>2018</v>
      </c>
      <c r="E677" s="2" t="s">
        <v>6105</v>
      </c>
      <c r="F677" t="s">
        <v>42</v>
      </c>
      <c r="G677" t="s">
        <v>3335</v>
      </c>
      <c r="H677" t="s">
        <v>3336</v>
      </c>
      <c r="I677" t="s">
        <v>35</v>
      </c>
      <c r="J677" t="s">
        <v>24</v>
      </c>
      <c r="K677" t="s">
        <v>133</v>
      </c>
      <c r="L677" t="s">
        <v>37</v>
      </c>
      <c r="M677" t="s">
        <v>27</v>
      </c>
      <c r="N677" t="s">
        <v>3337</v>
      </c>
      <c r="O677" t="s">
        <v>67</v>
      </c>
      <c r="P677" t="s">
        <v>92</v>
      </c>
      <c r="Q677" t="s">
        <v>3338</v>
      </c>
      <c r="R677">
        <v>1641.41</v>
      </c>
      <c r="S677">
        <v>9</v>
      </c>
      <c r="T677">
        <v>0.3</v>
      </c>
      <c r="U677">
        <v>-441.65</v>
      </c>
    </row>
    <row r="678" spans="1:21" x14ac:dyDescent="0.35">
      <c r="A678" t="s">
        <v>3339</v>
      </c>
      <c r="B678" s="2">
        <v>42872</v>
      </c>
      <c r="C678" s="2" t="str">
        <f t="shared" si="20"/>
        <v>May</v>
      </c>
      <c r="D678" s="2" t="str">
        <f t="shared" si="21"/>
        <v>2017</v>
      </c>
      <c r="E678" s="2" t="s">
        <v>6015</v>
      </c>
      <c r="F678" t="s">
        <v>42</v>
      </c>
      <c r="G678" t="s">
        <v>3340</v>
      </c>
      <c r="H678" t="s">
        <v>3341</v>
      </c>
      <c r="I678" t="s">
        <v>35</v>
      </c>
      <c r="J678" t="s">
        <v>24</v>
      </c>
      <c r="K678" t="s">
        <v>212</v>
      </c>
      <c r="L678" t="s">
        <v>26</v>
      </c>
      <c r="M678" t="s">
        <v>83</v>
      </c>
      <c r="N678" t="s">
        <v>3342</v>
      </c>
      <c r="O678" t="s">
        <v>67</v>
      </c>
      <c r="P678" t="s">
        <v>229</v>
      </c>
      <c r="Q678" t="s">
        <v>3343</v>
      </c>
      <c r="R678">
        <v>621.17999999999995</v>
      </c>
      <c r="S678">
        <v>3</v>
      </c>
      <c r="T678">
        <v>0</v>
      </c>
      <c r="U678">
        <v>147.6</v>
      </c>
    </row>
    <row r="679" spans="1:21" x14ac:dyDescent="0.35">
      <c r="A679" t="s">
        <v>3344</v>
      </c>
      <c r="B679" s="2">
        <v>42782</v>
      </c>
      <c r="C679" s="2" t="str">
        <f t="shared" si="20"/>
        <v>February</v>
      </c>
      <c r="D679" s="2" t="str">
        <f t="shared" si="21"/>
        <v>2017</v>
      </c>
      <c r="E679" s="2" t="s">
        <v>6080</v>
      </c>
      <c r="F679" t="s">
        <v>20</v>
      </c>
      <c r="G679" t="s">
        <v>3345</v>
      </c>
      <c r="H679" t="s">
        <v>2694</v>
      </c>
      <c r="I679" t="s">
        <v>55</v>
      </c>
      <c r="J679" t="s">
        <v>24</v>
      </c>
      <c r="K679" t="s">
        <v>45</v>
      </c>
      <c r="L679" t="s">
        <v>46</v>
      </c>
      <c r="M679" t="s">
        <v>57</v>
      </c>
      <c r="N679" t="s">
        <v>3346</v>
      </c>
      <c r="O679" t="s">
        <v>67</v>
      </c>
      <c r="P679" t="s">
        <v>197</v>
      </c>
      <c r="Q679" t="s">
        <v>455</v>
      </c>
      <c r="R679">
        <v>1812.13</v>
      </c>
      <c r="S679">
        <v>1</v>
      </c>
      <c r="T679">
        <v>0</v>
      </c>
      <c r="U679">
        <v>-263.82</v>
      </c>
    </row>
    <row r="680" spans="1:21" x14ac:dyDescent="0.35">
      <c r="A680" t="s">
        <v>3347</v>
      </c>
      <c r="B680" s="2">
        <v>43175</v>
      </c>
      <c r="C680" s="2" t="str">
        <f t="shared" si="20"/>
        <v>March</v>
      </c>
      <c r="D680" s="2" t="str">
        <f t="shared" si="21"/>
        <v>2018</v>
      </c>
      <c r="E680" s="2" t="s">
        <v>6121</v>
      </c>
      <c r="F680" t="s">
        <v>52</v>
      </c>
      <c r="G680" t="s">
        <v>3348</v>
      </c>
      <c r="H680" t="s">
        <v>1872</v>
      </c>
      <c r="I680" t="s">
        <v>35</v>
      </c>
      <c r="J680" t="s">
        <v>24</v>
      </c>
      <c r="K680" t="s">
        <v>81</v>
      </c>
      <c r="L680" t="s">
        <v>36</v>
      </c>
      <c r="M680" t="s">
        <v>83</v>
      </c>
      <c r="N680" t="s">
        <v>3349</v>
      </c>
      <c r="O680" t="s">
        <v>67</v>
      </c>
      <c r="P680" t="s">
        <v>117</v>
      </c>
      <c r="Q680" t="s">
        <v>3350</v>
      </c>
      <c r="R680">
        <v>1366.75</v>
      </c>
      <c r="S680">
        <v>5</v>
      </c>
      <c r="T680">
        <v>0.2</v>
      </c>
      <c r="U680">
        <v>226.98</v>
      </c>
    </row>
    <row r="681" spans="1:21" x14ac:dyDescent="0.35">
      <c r="A681" t="s">
        <v>3351</v>
      </c>
      <c r="B681" s="2">
        <v>42721</v>
      </c>
      <c r="C681" s="2" t="str">
        <f t="shared" si="20"/>
        <v>December</v>
      </c>
      <c r="D681" s="2" t="str">
        <f t="shared" si="21"/>
        <v>2016</v>
      </c>
      <c r="E681" s="2" t="s">
        <v>6027</v>
      </c>
      <c r="F681" t="s">
        <v>20</v>
      </c>
      <c r="G681" t="s">
        <v>3352</v>
      </c>
      <c r="H681" t="s">
        <v>3353</v>
      </c>
      <c r="I681" t="s">
        <v>55</v>
      </c>
      <c r="J681" t="s">
        <v>24</v>
      </c>
      <c r="K681" t="s">
        <v>36</v>
      </c>
      <c r="L681" t="s">
        <v>46</v>
      </c>
      <c r="M681" t="s">
        <v>74</v>
      </c>
      <c r="N681" t="s">
        <v>3354</v>
      </c>
      <c r="O681" t="s">
        <v>29</v>
      </c>
      <c r="P681" t="s">
        <v>30</v>
      </c>
      <c r="Q681" t="s">
        <v>3355</v>
      </c>
      <c r="R681">
        <v>1785.65</v>
      </c>
      <c r="S681">
        <v>8</v>
      </c>
      <c r="T681">
        <v>0</v>
      </c>
      <c r="U681">
        <v>-84.95</v>
      </c>
    </row>
    <row r="682" spans="1:21" x14ac:dyDescent="0.35">
      <c r="A682" t="s">
        <v>3356</v>
      </c>
      <c r="B682" s="2">
        <v>42686</v>
      </c>
      <c r="C682" s="2" t="str">
        <f t="shared" si="20"/>
        <v>November</v>
      </c>
      <c r="D682" s="2" t="str">
        <f t="shared" si="21"/>
        <v>2016</v>
      </c>
      <c r="E682" s="2" t="s">
        <v>6159</v>
      </c>
      <c r="F682" t="s">
        <v>42</v>
      </c>
      <c r="G682" t="s">
        <v>3357</v>
      </c>
      <c r="H682" t="s">
        <v>682</v>
      </c>
      <c r="I682" t="s">
        <v>35</v>
      </c>
      <c r="J682" t="s">
        <v>24</v>
      </c>
      <c r="K682" t="s">
        <v>103</v>
      </c>
      <c r="L682" t="s">
        <v>56</v>
      </c>
      <c r="M682" t="s">
        <v>27</v>
      </c>
      <c r="N682" t="s">
        <v>3358</v>
      </c>
      <c r="O682" t="s">
        <v>67</v>
      </c>
      <c r="P682" t="s">
        <v>229</v>
      </c>
      <c r="Q682" t="s">
        <v>3359</v>
      </c>
      <c r="R682">
        <v>532</v>
      </c>
      <c r="S682">
        <v>10</v>
      </c>
      <c r="T682">
        <v>0</v>
      </c>
      <c r="U682">
        <v>-50.2</v>
      </c>
    </row>
    <row r="683" spans="1:21" x14ac:dyDescent="0.35">
      <c r="A683" t="s">
        <v>3360</v>
      </c>
      <c r="B683" s="2">
        <v>42424</v>
      </c>
      <c r="C683" s="2" t="str">
        <f t="shared" si="20"/>
        <v>February</v>
      </c>
      <c r="D683" s="2" t="str">
        <f t="shared" si="21"/>
        <v>2016</v>
      </c>
      <c r="E683" s="2">
        <v>42372</v>
      </c>
      <c r="F683" t="s">
        <v>62</v>
      </c>
      <c r="G683" t="s">
        <v>3361</v>
      </c>
      <c r="H683" t="s">
        <v>3362</v>
      </c>
      <c r="I683" t="s">
        <v>35</v>
      </c>
      <c r="J683" t="s">
        <v>24</v>
      </c>
      <c r="K683" t="s">
        <v>103</v>
      </c>
      <c r="L683" t="s">
        <v>82</v>
      </c>
      <c r="M683" t="s">
        <v>83</v>
      </c>
      <c r="N683" t="s">
        <v>3363</v>
      </c>
      <c r="O683" t="s">
        <v>29</v>
      </c>
      <c r="P683" t="s">
        <v>39</v>
      </c>
      <c r="Q683" t="s">
        <v>3364</v>
      </c>
      <c r="R683">
        <v>951.24</v>
      </c>
      <c r="S683">
        <v>2</v>
      </c>
      <c r="T683">
        <v>0.1</v>
      </c>
      <c r="U683">
        <v>388.62</v>
      </c>
    </row>
    <row r="684" spans="1:21" x14ac:dyDescent="0.35">
      <c r="A684" t="s">
        <v>3365</v>
      </c>
      <c r="B684" s="2">
        <v>42650</v>
      </c>
      <c r="C684" s="2" t="str">
        <f t="shared" si="20"/>
        <v>October</v>
      </c>
      <c r="D684" s="2" t="str">
        <f t="shared" si="21"/>
        <v>2016</v>
      </c>
      <c r="E684" s="2" t="s">
        <v>6334</v>
      </c>
      <c r="F684" t="s">
        <v>20</v>
      </c>
      <c r="G684" t="s">
        <v>3366</v>
      </c>
      <c r="H684" t="s">
        <v>3367</v>
      </c>
      <c r="I684" t="s">
        <v>55</v>
      </c>
      <c r="J684" t="s">
        <v>24</v>
      </c>
      <c r="K684" t="s">
        <v>97</v>
      </c>
      <c r="L684" t="s">
        <v>65</v>
      </c>
      <c r="M684" t="s">
        <v>27</v>
      </c>
      <c r="N684" t="s">
        <v>3368</v>
      </c>
      <c r="O684" t="s">
        <v>29</v>
      </c>
      <c r="P684" t="s">
        <v>155</v>
      </c>
      <c r="Q684" t="s">
        <v>3369</v>
      </c>
      <c r="R684">
        <v>1800.57</v>
      </c>
      <c r="S684">
        <v>8</v>
      </c>
      <c r="T684">
        <v>0.1</v>
      </c>
      <c r="U684">
        <v>391.33</v>
      </c>
    </row>
    <row r="685" spans="1:21" x14ac:dyDescent="0.35">
      <c r="A685" t="s">
        <v>3370</v>
      </c>
      <c r="B685" s="2">
        <v>42457</v>
      </c>
      <c r="C685" s="2" t="str">
        <f t="shared" si="20"/>
        <v>March</v>
      </c>
      <c r="D685" s="2" t="str">
        <f t="shared" si="21"/>
        <v>2016</v>
      </c>
      <c r="E685" s="2">
        <v>42525</v>
      </c>
      <c r="F685" t="s">
        <v>52</v>
      </c>
      <c r="G685" t="s">
        <v>3371</v>
      </c>
      <c r="H685" t="s">
        <v>3372</v>
      </c>
      <c r="I685" t="s">
        <v>55</v>
      </c>
      <c r="J685" t="s">
        <v>24</v>
      </c>
      <c r="K685" t="s">
        <v>97</v>
      </c>
      <c r="L685" t="s">
        <v>65</v>
      </c>
      <c r="M685" t="s">
        <v>83</v>
      </c>
      <c r="N685" t="s">
        <v>3373</v>
      </c>
      <c r="O685" t="s">
        <v>29</v>
      </c>
      <c r="P685" t="s">
        <v>30</v>
      </c>
      <c r="Q685" t="s">
        <v>2765</v>
      </c>
      <c r="R685">
        <v>1288.6199999999999</v>
      </c>
      <c r="S685">
        <v>1</v>
      </c>
      <c r="T685">
        <v>0.3</v>
      </c>
      <c r="U685">
        <v>329.75</v>
      </c>
    </row>
    <row r="686" spans="1:21" x14ac:dyDescent="0.35">
      <c r="A686" t="s">
        <v>3374</v>
      </c>
      <c r="B686" s="2">
        <v>42604</v>
      </c>
      <c r="C686" s="2" t="str">
        <f t="shared" si="20"/>
        <v>August</v>
      </c>
      <c r="D686" s="2" t="str">
        <f t="shared" si="21"/>
        <v>2016</v>
      </c>
      <c r="E686" s="2" t="s">
        <v>6335</v>
      </c>
      <c r="F686" t="s">
        <v>62</v>
      </c>
      <c r="G686" t="s">
        <v>3375</v>
      </c>
      <c r="H686" t="s">
        <v>2101</v>
      </c>
      <c r="I686" t="s">
        <v>55</v>
      </c>
      <c r="J686" t="s">
        <v>24</v>
      </c>
      <c r="K686" t="s">
        <v>25</v>
      </c>
      <c r="L686" t="s">
        <v>36</v>
      </c>
      <c r="M686" t="s">
        <v>83</v>
      </c>
      <c r="N686" t="s">
        <v>3376</v>
      </c>
      <c r="O686" t="s">
        <v>67</v>
      </c>
      <c r="P686" t="s">
        <v>229</v>
      </c>
      <c r="Q686" t="s">
        <v>3377</v>
      </c>
      <c r="R686">
        <v>765.89</v>
      </c>
      <c r="S686">
        <v>2</v>
      </c>
      <c r="T686">
        <v>0.2</v>
      </c>
      <c r="U686">
        <v>119.5</v>
      </c>
    </row>
    <row r="687" spans="1:21" x14ac:dyDescent="0.35">
      <c r="A687" t="s">
        <v>3378</v>
      </c>
      <c r="B687" s="2">
        <v>42982</v>
      </c>
      <c r="C687" s="2" t="str">
        <f t="shared" si="20"/>
        <v>September</v>
      </c>
      <c r="D687" s="2" t="str">
        <f t="shared" si="21"/>
        <v>2017</v>
      </c>
      <c r="E687" s="2">
        <v>43078</v>
      </c>
      <c r="F687" t="s">
        <v>42</v>
      </c>
      <c r="G687" t="s">
        <v>3379</v>
      </c>
      <c r="H687" t="s">
        <v>3380</v>
      </c>
      <c r="I687" t="s">
        <v>55</v>
      </c>
      <c r="J687" t="s">
        <v>24</v>
      </c>
      <c r="K687" t="s">
        <v>212</v>
      </c>
      <c r="L687" t="s">
        <v>36</v>
      </c>
      <c r="M687" t="s">
        <v>57</v>
      </c>
      <c r="N687" t="s">
        <v>3381</v>
      </c>
      <c r="O687" t="s">
        <v>29</v>
      </c>
      <c r="P687" t="s">
        <v>30</v>
      </c>
      <c r="Q687" t="s">
        <v>3382</v>
      </c>
      <c r="R687">
        <v>714.89</v>
      </c>
      <c r="S687">
        <v>5</v>
      </c>
      <c r="T687">
        <v>0.2</v>
      </c>
      <c r="U687">
        <v>-171.65</v>
      </c>
    </row>
    <row r="688" spans="1:21" x14ac:dyDescent="0.35">
      <c r="A688" t="s">
        <v>3383</v>
      </c>
      <c r="B688" s="2">
        <v>42829</v>
      </c>
      <c r="C688" s="2" t="str">
        <f t="shared" si="20"/>
        <v>April</v>
      </c>
      <c r="D688" s="2" t="str">
        <f t="shared" si="21"/>
        <v>2017</v>
      </c>
      <c r="E688" s="2">
        <v>42890</v>
      </c>
      <c r="F688" t="s">
        <v>62</v>
      </c>
      <c r="G688" t="s">
        <v>3384</v>
      </c>
      <c r="H688" t="s">
        <v>3385</v>
      </c>
      <c r="I688" t="s">
        <v>23</v>
      </c>
      <c r="J688" t="s">
        <v>24</v>
      </c>
      <c r="K688" t="s">
        <v>45</v>
      </c>
      <c r="L688" t="s">
        <v>26</v>
      </c>
      <c r="M688" t="s">
        <v>83</v>
      </c>
      <c r="N688" t="s">
        <v>3386</v>
      </c>
      <c r="O688" t="s">
        <v>29</v>
      </c>
      <c r="P688" t="s">
        <v>30</v>
      </c>
      <c r="Q688" t="s">
        <v>3387</v>
      </c>
      <c r="R688">
        <v>764.14</v>
      </c>
      <c r="S688">
        <v>5</v>
      </c>
      <c r="T688">
        <v>0</v>
      </c>
      <c r="U688">
        <v>235.32</v>
      </c>
    </row>
    <row r="689" spans="1:21" x14ac:dyDescent="0.35">
      <c r="A689" t="s">
        <v>3388</v>
      </c>
      <c r="B689" s="2">
        <v>43104</v>
      </c>
      <c r="C689" s="2" t="str">
        <f t="shared" si="20"/>
        <v>January</v>
      </c>
      <c r="D689" s="2" t="str">
        <f t="shared" si="21"/>
        <v>2018</v>
      </c>
      <c r="E689" s="2" t="s">
        <v>5978</v>
      </c>
      <c r="F689" t="s">
        <v>62</v>
      </c>
      <c r="G689" t="s">
        <v>3389</v>
      </c>
      <c r="H689" t="s">
        <v>3390</v>
      </c>
      <c r="I689" t="s">
        <v>23</v>
      </c>
      <c r="J689" t="s">
        <v>24</v>
      </c>
      <c r="K689" t="s">
        <v>81</v>
      </c>
      <c r="L689" t="s">
        <v>37</v>
      </c>
      <c r="M689" t="s">
        <v>74</v>
      </c>
      <c r="N689" t="s">
        <v>3391</v>
      </c>
      <c r="O689" t="s">
        <v>48</v>
      </c>
      <c r="P689" t="s">
        <v>128</v>
      </c>
      <c r="Q689" t="s">
        <v>3392</v>
      </c>
      <c r="R689">
        <v>1694.99</v>
      </c>
      <c r="S689">
        <v>6</v>
      </c>
      <c r="T689">
        <v>0.4</v>
      </c>
      <c r="U689">
        <v>-382.23</v>
      </c>
    </row>
    <row r="690" spans="1:21" x14ac:dyDescent="0.35">
      <c r="A690" t="s">
        <v>3393</v>
      </c>
      <c r="B690" s="2">
        <v>43797</v>
      </c>
      <c r="C690" s="2" t="str">
        <f t="shared" si="20"/>
        <v>November</v>
      </c>
      <c r="D690" s="2" t="str">
        <f t="shared" si="21"/>
        <v>2019</v>
      </c>
      <c r="E690" s="2">
        <v>43477</v>
      </c>
      <c r="F690" t="s">
        <v>52</v>
      </c>
      <c r="G690" t="s">
        <v>3394</v>
      </c>
      <c r="H690" t="s">
        <v>3395</v>
      </c>
      <c r="I690" t="s">
        <v>35</v>
      </c>
      <c r="J690" t="s">
        <v>24</v>
      </c>
      <c r="K690" t="s">
        <v>45</v>
      </c>
      <c r="L690" t="s">
        <v>170</v>
      </c>
      <c r="M690" t="s">
        <v>27</v>
      </c>
      <c r="N690" t="s">
        <v>3396</v>
      </c>
      <c r="O690" t="s">
        <v>29</v>
      </c>
      <c r="P690" t="s">
        <v>30</v>
      </c>
      <c r="Q690" t="s">
        <v>1619</v>
      </c>
      <c r="R690">
        <v>691.84</v>
      </c>
      <c r="S690">
        <v>7</v>
      </c>
      <c r="T690">
        <v>0.3</v>
      </c>
      <c r="U690">
        <v>204.45</v>
      </c>
    </row>
    <row r="691" spans="1:21" x14ac:dyDescent="0.35">
      <c r="A691" t="s">
        <v>3397</v>
      </c>
      <c r="B691" s="2">
        <v>43509</v>
      </c>
      <c r="C691" s="2" t="str">
        <f t="shared" si="20"/>
        <v>February</v>
      </c>
      <c r="D691" s="2" t="str">
        <f t="shared" si="21"/>
        <v>2019</v>
      </c>
      <c r="E691" s="2" t="s">
        <v>6292</v>
      </c>
      <c r="F691" t="s">
        <v>42</v>
      </c>
      <c r="G691" t="s">
        <v>3398</v>
      </c>
      <c r="H691" t="s">
        <v>3399</v>
      </c>
      <c r="I691" t="s">
        <v>23</v>
      </c>
      <c r="J691" t="s">
        <v>24</v>
      </c>
      <c r="K691" t="s">
        <v>36</v>
      </c>
      <c r="L691" t="s">
        <v>65</v>
      </c>
      <c r="M691" t="s">
        <v>83</v>
      </c>
      <c r="N691" t="s">
        <v>3400</v>
      </c>
      <c r="O691" t="s">
        <v>48</v>
      </c>
      <c r="P691" t="s">
        <v>59</v>
      </c>
      <c r="Q691" t="s">
        <v>3401</v>
      </c>
      <c r="R691">
        <v>661.86</v>
      </c>
      <c r="S691">
        <v>10</v>
      </c>
      <c r="T691">
        <v>0.4</v>
      </c>
      <c r="U691">
        <v>117.46</v>
      </c>
    </row>
    <row r="692" spans="1:21" x14ac:dyDescent="0.35">
      <c r="A692" t="s">
        <v>3402</v>
      </c>
      <c r="B692" s="2">
        <v>43077</v>
      </c>
      <c r="C692" s="2" t="str">
        <f t="shared" si="20"/>
        <v>December</v>
      </c>
      <c r="D692" s="2" t="str">
        <f t="shared" si="21"/>
        <v>2017</v>
      </c>
      <c r="E692" s="2" t="s">
        <v>5987</v>
      </c>
      <c r="F692" t="s">
        <v>20</v>
      </c>
      <c r="G692" t="s">
        <v>3403</v>
      </c>
      <c r="H692" t="s">
        <v>3404</v>
      </c>
      <c r="I692" t="s">
        <v>35</v>
      </c>
      <c r="J692" t="s">
        <v>24</v>
      </c>
      <c r="K692" t="s">
        <v>133</v>
      </c>
      <c r="L692" t="s">
        <v>36</v>
      </c>
      <c r="M692" t="s">
        <v>27</v>
      </c>
      <c r="N692" t="s">
        <v>3405</v>
      </c>
      <c r="O692" t="s">
        <v>67</v>
      </c>
      <c r="P692" t="s">
        <v>68</v>
      </c>
      <c r="Q692" t="s">
        <v>3406</v>
      </c>
      <c r="R692">
        <v>308.82</v>
      </c>
      <c r="S692">
        <v>7</v>
      </c>
      <c r="T692">
        <v>0.3</v>
      </c>
      <c r="U692">
        <v>-28.03</v>
      </c>
    </row>
    <row r="693" spans="1:21" x14ac:dyDescent="0.35">
      <c r="A693" t="s">
        <v>3407</v>
      </c>
      <c r="B693" s="2">
        <v>43278</v>
      </c>
      <c r="C693" s="2" t="str">
        <f t="shared" si="20"/>
        <v>June</v>
      </c>
      <c r="D693" s="2" t="str">
        <f t="shared" si="21"/>
        <v>2018</v>
      </c>
      <c r="E693" s="2">
        <v>43138</v>
      </c>
      <c r="F693" t="s">
        <v>20</v>
      </c>
      <c r="G693" t="s">
        <v>3408</v>
      </c>
      <c r="H693" t="s">
        <v>3409</v>
      </c>
      <c r="I693" t="s">
        <v>55</v>
      </c>
      <c r="J693" t="s">
        <v>24</v>
      </c>
      <c r="K693" t="s">
        <v>89</v>
      </c>
      <c r="L693" t="s">
        <v>115</v>
      </c>
      <c r="M693" t="s">
        <v>57</v>
      </c>
      <c r="N693" t="s">
        <v>3410</v>
      </c>
      <c r="O693" t="s">
        <v>48</v>
      </c>
      <c r="P693" t="s">
        <v>59</v>
      </c>
      <c r="Q693" t="s">
        <v>3411</v>
      </c>
      <c r="R693">
        <v>1386.63</v>
      </c>
      <c r="S693">
        <v>4</v>
      </c>
      <c r="T693">
        <v>0</v>
      </c>
      <c r="U693">
        <v>537.34</v>
      </c>
    </row>
    <row r="694" spans="1:21" x14ac:dyDescent="0.35">
      <c r="A694" t="s">
        <v>3412</v>
      </c>
      <c r="B694" s="2">
        <v>43573</v>
      </c>
      <c r="C694" s="2" t="str">
        <f t="shared" si="20"/>
        <v>April</v>
      </c>
      <c r="D694" s="2" t="str">
        <f t="shared" si="21"/>
        <v>2019</v>
      </c>
      <c r="E694" s="2" t="s">
        <v>6110</v>
      </c>
      <c r="F694" t="s">
        <v>20</v>
      </c>
      <c r="G694" t="s">
        <v>3413</v>
      </c>
      <c r="H694" t="s">
        <v>3414</v>
      </c>
      <c r="I694" t="s">
        <v>35</v>
      </c>
      <c r="J694" t="s">
        <v>24</v>
      </c>
      <c r="K694" t="s">
        <v>103</v>
      </c>
      <c r="L694" t="s">
        <v>37</v>
      </c>
      <c r="M694" t="s">
        <v>57</v>
      </c>
      <c r="N694" t="s">
        <v>3415</v>
      </c>
      <c r="O694" t="s">
        <v>67</v>
      </c>
      <c r="P694" t="s">
        <v>68</v>
      </c>
      <c r="Q694" t="s">
        <v>3416</v>
      </c>
      <c r="R694">
        <v>1807.66</v>
      </c>
      <c r="S694">
        <v>7</v>
      </c>
      <c r="T694">
        <v>0.4</v>
      </c>
      <c r="U694">
        <v>737.16</v>
      </c>
    </row>
    <row r="695" spans="1:21" x14ac:dyDescent="0.35">
      <c r="A695" t="s">
        <v>3417</v>
      </c>
      <c r="B695" s="2">
        <v>43086</v>
      </c>
      <c r="C695" s="2" t="str">
        <f t="shared" si="20"/>
        <v>December</v>
      </c>
      <c r="D695" s="2" t="str">
        <f t="shared" si="21"/>
        <v>2017</v>
      </c>
      <c r="E695" s="2" t="s">
        <v>6336</v>
      </c>
      <c r="F695" t="s">
        <v>20</v>
      </c>
      <c r="G695" t="s">
        <v>3418</v>
      </c>
      <c r="H695" t="s">
        <v>3419</v>
      </c>
      <c r="I695" t="s">
        <v>35</v>
      </c>
      <c r="J695" t="s">
        <v>24</v>
      </c>
      <c r="K695" t="s">
        <v>103</v>
      </c>
      <c r="L695" t="s">
        <v>26</v>
      </c>
      <c r="M695" t="s">
        <v>74</v>
      </c>
      <c r="N695" t="s">
        <v>3420</v>
      </c>
      <c r="O695" t="s">
        <v>29</v>
      </c>
      <c r="P695" t="s">
        <v>110</v>
      </c>
      <c r="Q695" t="s">
        <v>1869</v>
      </c>
      <c r="R695">
        <v>772.41</v>
      </c>
      <c r="S695">
        <v>5</v>
      </c>
      <c r="T695">
        <v>0.3</v>
      </c>
      <c r="U695">
        <v>0.99</v>
      </c>
    </row>
    <row r="696" spans="1:21" x14ac:dyDescent="0.35">
      <c r="A696" t="s">
        <v>3421</v>
      </c>
      <c r="B696" s="2">
        <v>42939</v>
      </c>
      <c r="C696" s="2" t="str">
        <f t="shared" si="20"/>
        <v>July</v>
      </c>
      <c r="D696" s="2" t="str">
        <f t="shared" si="21"/>
        <v>2017</v>
      </c>
      <c r="E696" s="2" t="s">
        <v>6057</v>
      </c>
      <c r="F696" t="s">
        <v>20</v>
      </c>
      <c r="G696" t="s">
        <v>3422</v>
      </c>
      <c r="H696" t="s">
        <v>3423</v>
      </c>
      <c r="I696" t="s">
        <v>55</v>
      </c>
      <c r="J696" t="s">
        <v>24</v>
      </c>
      <c r="K696" t="s">
        <v>73</v>
      </c>
      <c r="L696" t="s">
        <v>65</v>
      </c>
      <c r="M696" t="s">
        <v>27</v>
      </c>
      <c r="N696" t="s">
        <v>3424</v>
      </c>
      <c r="O696" t="s">
        <v>67</v>
      </c>
      <c r="P696" t="s">
        <v>68</v>
      </c>
      <c r="Q696" t="s">
        <v>3425</v>
      </c>
      <c r="R696">
        <v>1599.71</v>
      </c>
      <c r="S696">
        <v>4</v>
      </c>
      <c r="T696">
        <v>0</v>
      </c>
      <c r="U696">
        <v>346.22</v>
      </c>
    </row>
    <row r="697" spans="1:21" x14ac:dyDescent="0.35">
      <c r="A697" t="s">
        <v>3426</v>
      </c>
      <c r="B697" s="2">
        <v>43628</v>
      </c>
      <c r="C697" s="2" t="str">
        <f t="shared" si="20"/>
        <v>June</v>
      </c>
      <c r="D697" s="2" t="str">
        <f t="shared" si="21"/>
        <v>2019</v>
      </c>
      <c r="E697" s="2" t="s">
        <v>6172</v>
      </c>
      <c r="F697" t="s">
        <v>52</v>
      </c>
      <c r="G697" t="s">
        <v>3427</v>
      </c>
      <c r="H697" t="s">
        <v>3428</v>
      </c>
      <c r="I697" t="s">
        <v>23</v>
      </c>
      <c r="J697" t="s">
        <v>24</v>
      </c>
      <c r="K697" t="s">
        <v>97</v>
      </c>
      <c r="L697" t="s">
        <v>82</v>
      </c>
      <c r="M697" t="s">
        <v>27</v>
      </c>
      <c r="N697" t="s">
        <v>3429</v>
      </c>
      <c r="O697" t="s">
        <v>48</v>
      </c>
      <c r="P697" t="s">
        <v>49</v>
      </c>
      <c r="Q697" t="s">
        <v>3430</v>
      </c>
      <c r="R697">
        <v>739.98</v>
      </c>
      <c r="S697">
        <v>5</v>
      </c>
      <c r="T697">
        <v>0.1</v>
      </c>
      <c r="U697">
        <v>-43.25</v>
      </c>
    </row>
    <row r="698" spans="1:21" x14ac:dyDescent="0.35">
      <c r="A698" t="s">
        <v>3431</v>
      </c>
      <c r="B698" s="2">
        <v>42905</v>
      </c>
      <c r="C698" s="2" t="str">
        <f t="shared" si="20"/>
        <v>June</v>
      </c>
      <c r="D698" s="2" t="str">
        <f t="shared" si="21"/>
        <v>2017</v>
      </c>
      <c r="E698" s="2" t="s">
        <v>6337</v>
      </c>
      <c r="F698" t="s">
        <v>20</v>
      </c>
      <c r="G698" t="s">
        <v>3432</v>
      </c>
      <c r="H698" t="s">
        <v>3433</v>
      </c>
      <c r="I698" t="s">
        <v>55</v>
      </c>
      <c r="J698" t="s">
        <v>24</v>
      </c>
      <c r="K698" t="s">
        <v>133</v>
      </c>
      <c r="L698" t="s">
        <v>170</v>
      </c>
      <c r="M698" t="s">
        <v>74</v>
      </c>
      <c r="N698" t="s">
        <v>3434</v>
      </c>
      <c r="O698" t="s">
        <v>48</v>
      </c>
      <c r="P698" t="s">
        <v>59</v>
      </c>
      <c r="Q698" t="s">
        <v>3435</v>
      </c>
      <c r="R698">
        <v>765.68</v>
      </c>
      <c r="S698">
        <v>2</v>
      </c>
      <c r="T698">
        <v>0</v>
      </c>
      <c r="U698">
        <v>143.19999999999999</v>
      </c>
    </row>
    <row r="699" spans="1:21" x14ac:dyDescent="0.35">
      <c r="A699" t="s">
        <v>3436</v>
      </c>
      <c r="B699" s="2">
        <v>42956</v>
      </c>
      <c r="C699" s="2" t="str">
        <f t="shared" si="20"/>
        <v>August</v>
      </c>
      <c r="D699" s="2" t="str">
        <f t="shared" si="21"/>
        <v>2017</v>
      </c>
      <c r="E699" s="2" t="s">
        <v>6092</v>
      </c>
      <c r="F699" t="s">
        <v>20</v>
      </c>
      <c r="G699" t="s">
        <v>3437</v>
      </c>
      <c r="H699" t="s">
        <v>1197</v>
      </c>
      <c r="I699" t="s">
        <v>55</v>
      </c>
      <c r="J699" t="s">
        <v>24</v>
      </c>
      <c r="K699" t="s">
        <v>81</v>
      </c>
      <c r="L699" t="s">
        <v>115</v>
      </c>
      <c r="M699" t="s">
        <v>83</v>
      </c>
      <c r="N699" t="s">
        <v>3438</v>
      </c>
      <c r="O699" t="s">
        <v>29</v>
      </c>
      <c r="P699" t="s">
        <v>39</v>
      </c>
      <c r="Q699" t="s">
        <v>3439</v>
      </c>
      <c r="R699">
        <v>1128.27</v>
      </c>
      <c r="S699">
        <v>4</v>
      </c>
      <c r="T699">
        <v>0</v>
      </c>
      <c r="U699">
        <v>-196.25</v>
      </c>
    </row>
    <row r="700" spans="1:21" x14ac:dyDescent="0.35">
      <c r="A700" t="s">
        <v>3440</v>
      </c>
      <c r="B700" s="2">
        <v>43664</v>
      </c>
      <c r="C700" s="2" t="str">
        <f t="shared" si="20"/>
        <v>July</v>
      </c>
      <c r="D700" s="2" t="str">
        <f t="shared" si="21"/>
        <v>2019</v>
      </c>
      <c r="E700" s="2" t="s">
        <v>6294</v>
      </c>
      <c r="F700" t="s">
        <v>52</v>
      </c>
      <c r="G700" t="s">
        <v>3441</v>
      </c>
      <c r="H700" t="s">
        <v>3442</v>
      </c>
      <c r="I700" t="s">
        <v>35</v>
      </c>
      <c r="J700" t="s">
        <v>24</v>
      </c>
      <c r="K700" t="s">
        <v>89</v>
      </c>
      <c r="L700" t="s">
        <v>115</v>
      </c>
      <c r="M700" t="s">
        <v>74</v>
      </c>
      <c r="N700" t="s">
        <v>3443</v>
      </c>
      <c r="O700" t="s">
        <v>29</v>
      </c>
      <c r="P700" t="s">
        <v>30</v>
      </c>
      <c r="Q700" t="s">
        <v>3444</v>
      </c>
      <c r="R700">
        <v>111.39</v>
      </c>
      <c r="S700">
        <v>4</v>
      </c>
      <c r="T700">
        <v>0.1</v>
      </c>
      <c r="U700">
        <v>48.61</v>
      </c>
    </row>
    <row r="701" spans="1:21" x14ac:dyDescent="0.35">
      <c r="A701" t="s">
        <v>3445</v>
      </c>
      <c r="B701" s="2">
        <v>42619</v>
      </c>
      <c r="C701" s="2" t="str">
        <f t="shared" si="20"/>
        <v>September</v>
      </c>
      <c r="D701" s="2" t="str">
        <f t="shared" si="21"/>
        <v>2016</v>
      </c>
      <c r="E701" s="2" t="s">
        <v>6296</v>
      </c>
      <c r="F701" t="s">
        <v>62</v>
      </c>
      <c r="G701" t="s">
        <v>3446</v>
      </c>
      <c r="H701" t="s">
        <v>3447</v>
      </c>
      <c r="I701" t="s">
        <v>23</v>
      </c>
      <c r="J701" t="s">
        <v>24</v>
      </c>
      <c r="K701" t="s">
        <v>103</v>
      </c>
      <c r="L701" t="s">
        <v>115</v>
      </c>
      <c r="M701" t="s">
        <v>74</v>
      </c>
      <c r="N701" t="s">
        <v>3448</v>
      </c>
      <c r="O701" t="s">
        <v>29</v>
      </c>
      <c r="P701" t="s">
        <v>155</v>
      </c>
      <c r="Q701" t="s">
        <v>3449</v>
      </c>
      <c r="R701">
        <v>1584.18</v>
      </c>
      <c r="S701">
        <v>7</v>
      </c>
      <c r="T701">
        <v>0.2</v>
      </c>
      <c r="U701">
        <v>-266.51</v>
      </c>
    </row>
    <row r="702" spans="1:21" x14ac:dyDescent="0.35">
      <c r="A702" t="s">
        <v>3450</v>
      </c>
      <c r="B702" s="2">
        <v>43311</v>
      </c>
      <c r="C702" s="2" t="str">
        <f t="shared" si="20"/>
        <v>July</v>
      </c>
      <c r="D702" s="2" t="str">
        <f t="shared" si="21"/>
        <v>2018</v>
      </c>
      <c r="E702" s="2">
        <v>43351</v>
      </c>
      <c r="F702" t="s">
        <v>42</v>
      </c>
      <c r="G702" t="s">
        <v>3451</v>
      </c>
      <c r="H702" t="s">
        <v>3452</v>
      </c>
      <c r="I702" t="s">
        <v>23</v>
      </c>
      <c r="J702" t="s">
        <v>24</v>
      </c>
      <c r="K702" t="s">
        <v>103</v>
      </c>
      <c r="L702" t="s">
        <v>115</v>
      </c>
      <c r="M702" t="s">
        <v>83</v>
      </c>
      <c r="N702" t="s">
        <v>3453</v>
      </c>
      <c r="O702" t="s">
        <v>48</v>
      </c>
      <c r="P702" t="s">
        <v>76</v>
      </c>
      <c r="Q702" t="s">
        <v>3454</v>
      </c>
      <c r="R702">
        <v>134.82</v>
      </c>
      <c r="S702">
        <v>7</v>
      </c>
      <c r="T702">
        <v>0.3</v>
      </c>
      <c r="U702">
        <v>55.43</v>
      </c>
    </row>
    <row r="703" spans="1:21" x14ac:dyDescent="0.35">
      <c r="A703" t="s">
        <v>3455</v>
      </c>
      <c r="B703" s="2">
        <v>42422</v>
      </c>
      <c r="C703" s="2" t="str">
        <f t="shared" si="20"/>
        <v>February</v>
      </c>
      <c r="D703" s="2" t="str">
        <f t="shared" si="21"/>
        <v>2016</v>
      </c>
      <c r="E703" s="2" t="s">
        <v>6028</v>
      </c>
      <c r="F703" t="s">
        <v>42</v>
      </c>
      <c r="G703" t="s">
        <v>3456</v>
      </c>
      <c r="H703" t="s">
        <v>3457</v>
      </c>
      <c r="I703" t="s">
        <v>23</v>
      </c>
      <c r="J703" t="s">
        <v>24</v>
      </c>
      <c r="K703" t="s">
        <v>133</v>
      </c>
      <c r="L703" t="s">
        <v>26</v>
      </c>
      <c r="M703" t="s">
        <v>83</v>
      </c>
      <c r="N703" t="s">
        <v>3458</v>
      </c>
      <c r="O703" t="s">
        <v>48</v>
      </c>
      <c r="P703" t="s">
        <v>128</v>
      </c>
      <c r="Q703" t="s">
        <v>3459</v>
      </c>
      <c r="R703">
        <v>323.64</v>
      </c>
      <c r="S703">
        <v>7</v>
      </c>
      <c r="T703">
        <v>0</v>
      </c>
      <c r="U703">
        <v>-3.99</v>
      </c>
    </row>
    <row r="704" spans="1:21" x14ac:dyDescent="0.35">
      <c r="A704" t="s">
        <v>3460</v>
      </c>
      <c r="B704" s="2">
        <v>43072</v>
      </c>
      <c r="C704" s="2" t="str">
        <f t="shared" si="20"/>
        <v>December</v>
      </c>
      <c r="D704" s="2" t="str">
        <f t="shared" si="21"/>
        <v>2017</v>
      </c>
      <c r="E704" s="2">
        <v>43051</v>
      </c>
      <c r="F704" t="s">
        <v>20</v>
      </c>
      <c r="G704" t="s">
        <v>3461</v>
      </c>
      <c r="H704" t="s">
        <v>3462</v>
      </c>
      <c r="I704" t="s">
        <v>55</v>
      </c>
      <c r="J704" t="s">
        <v>24</v>
      </c>
      <c r="K704" t="s">
        <v>212</v>
      </c>
      <c r="L704" t="s">
        <v>37</v>
      </c>
      <c r="M704" t="s">
        <v>83</v>
      </c>
      <c r="N704" t="s">
        <v>3463</v>
      </c>
      <c r="O704" t="s">
        <v>67</v>
      </c>
      <c r="P704" t="s">
        <v>197</v>
      </c>
      <c r="Q704" t="s">
        <v>814</v>
      </c>
      <c r="R704">
        <v>1201.29</v>
      </c>
      <c r="S704">
        <v>10</v>
      </c>
      <c r="T704">
        <v>0</v>
      </c>
      <c r="U704">
        <v>16.53</v>
      </c>
    </row>
    <row r="705" spans="1:21" x14ac:dyDescent="0.35">
      <c r="A705" t="s">
        <v>3464</v>
      </c>
      <c r="B705" s="2">
        <v>43228</v>
      </c>
      <c r="C705" s="2" t="str">
        <f t="shared" si="20"/>
        <v>May</v>
      </c>
      <c r="D705" s="2" t="str">
        <f t="shared" si="21"/>
        <v>2018</v>
      </c>
      <c r="E705" s="2">
        <v>43378</v>
      </c>
      <c r="F705" t="s">
        <v>52</v>
      </c>
      <c r="G705" t="s">
        <v>3465</v>
      </c>
      <c r="H705" t="s">
        <v>3466</v>
      </c>
      <c r="I705" t="s">
        <v>55</v>
      </c>
      <c r="J705" t="s">
        <v>24</v>
      </c>
      <c r="K705" t="s">
        <v>73</v>
      </c>
      <c r="L705" t="s">
        <v>56</v>
      </c>
      <c r="M705" t="s">
        <v>27</v>
      </c>
      <c r="N705" t="s">
        <v>3467</v>
      </c>
      <c r="O705" t="s">
        <v>29</v>
      </c>
      <c r="P705" t="s">
        <v>39</v>
      </c>
      <c r="Q705" t="s">
        <v>3468</v>
      </c>
      <c r="R705">
        <v>98.08</v>
      </c>
      <c r="S705">
        <v>5</v>
      </c>
      <c r="T705">
        <v>0</v>
      </c>
      <c r="U705">
        <v>-3.21</v>
      </c>
    </row>
    <row r="706" spans="1:21" x14ac:dyDescent="0.35">
      <c r="A706" t="s">
        <v>3469</v>
      </c>
      <c r="B706" s="2">
        <v>42445</v>
      </c>
      <c r="C706" s="2" t="str">
        <f t="shared" si="20"/>
        <v>March</v>
      </c>
      <c r="D706" s="2" t="str">
        <f t="shared" si="21"/>
        <v>2016</v>
      </c>
      <c r="E706" s="2" t="s">
        <v>6076</v>
      </c>
      <c r="F706" t="s">
        <v>42</v>
      </c>
      <c r="G706" t="s">
        <v>3470</v>
      </c>
      <c r="H706" t="s">
        <v>1665</v>
      </c>
      <c r="I706" t="s">
        <v>35</v>
      </c>
      <c r="J706" t="s">
        <v>24</v>
      </c>
      <c r="K706" t="s">
        <v>73</v>
      </c>
      <c r="L706" t="s">
        <v>65</v>
      </c>
      <c r="M706" t="s">
        <v>83</v>
      </c>
      <c r="N706" t="s">
        <v>3471</v>
      </c>
      <c r="O706" t="s">
        <v>48</v>
      </c>
      <c r="P706" t="s">
        <v>59</v>
      </c>
      <c r="Q706" t="s">
        <v>3472</v>
      </c>
      <c r="R706">
        <v>173.56</v>
      </c>
      <c r="S706">
        <v>4</v>
      </c>
      <c r="T706">
        <v>0.1</v>
      </c>
      <c r="U706">
        <v>44.13</v>
      </c>
    </row>
    <row r="707" spans="1:21" x14ac:dyDescent="0.35">
      <c r="A707" t="s">
        <v>3473</v>
      </c>
      <c r="B707" s="2">
        <v>43090</v>
      </c>
      <c r="C707" s="2" t="str">
        <f t="shared" ref="C707:C770" si="22">TEXT(B707,"mmmm")</f>
        <v>December</v>
      </c>
      <c r="D707" s="2" t="str">
        <f t="shared" ref="D707:D770" si="23">TEXT(B707,"yyyy")</f>
        <v>2017</v>
      </c>
      <c r="E707" s="2" t="s">
        <v>6212</v>
      </c>
      <c r="F707" t="s">
        <v>52</v>
      </c>
      <c r="G707" t="s">
        <v>3474</v>
      </c>
      <c r="H707" t="s">
        <v>3475</v>
      </c>
      <c r="I707" t="s">
        <v>55</v>
      </c>
      <c r="J707" t="s">
        <v>24</v>
      </c>
      <c r="K707" t="s">
        <v>45</v>
      </c>
      <c r="L707" t="s">
        <v>115</v>
      </c>
      <c r="M707" t="s">
        <v>57</v>
      </c>
      <c r="N707" t="s">
        <v>3476</v>
      </c>
      <c r="O707" t="s">
        <v>67</v>
      </c>
      <c r="P707" t="s">
        <v>229</v>
      </c>
      <c r="Q707" t="s">
        <v>1971</v>
      </c>
      <c r="R707">
        <v>1936.2</v>
      </c>
      <c r="S707">
        <v>5</v>
      </c>
      <c r="T707">
        <v>0.1</v>
      </c>
      <c r="U707">
        <v>566.20000000000005</v>
      </c>
    </row>
    <row r="708" spans="1:21" x14ac:dyDescent="0.35">
      <c r="A708" t="s">
        <v>3477</v>
      </c>
      <c r="B708" s="2">
        <v>43760</v>
      </c>
      <c r="C708" s="2" t="str">
        <f t="shared" si="22"/>
        <v>October</v>
      </c>
      <c r="D708" s="2" t="str">
        <f t="shared" si="23"/>
        <v>2019</v>
      </c>
      <c r="E708" s="2" t="s">
        <v>6111</v>
      </c>
      <c r="F708" t="s">
        <v>52</v>
      </c>
      <c r="G708" t="s">
        <v>3478</v>
      </c>
      <c r="H708" t="s">
        <v>3479</v>
      </c>
      <c r="I708" t="s">
        <v>55</v>
      </c>
      <c r="J708" t="s">
        <v>24</v>
      </c>
      <c r="K708" t="s">
        <v>212</v>
      </c>
      <c r="L708" t="s">
        <v>65</v>
      </c>
      <c r="M708" t="s">
        <v>57</v>
      </c>
      <c r="N708" t="s">
        <v>3480</v>
      </c>
      <c r="O708" t="s">
        <v>48</v>
      </c>
      <c r="P708" t="s">
        <v>128</v>
      </c>
      <c r="Q708" t="s">
        <v>3481</v>
      </c>
      <c r="R708">
        <v>492.25</v>
      </c>
      <c r="S708">
        <v>5</v>
      </c>
      <c r="T708">
        <v>0.3</v>
      </c>
      <c r="U708">
        <v>211.95</v>
      </c>
    </row>
    <row r="709" spans="1:21" x14ac:dyDescent="0.35">
      <c r="A709" t="s">
        <v>3482</v>
      </c>
      <c r="B709" s="2">
        <v>43398</v>
      </c>
      <c r="C709" s="2" t="str">
        <f t="shared" si="22"/>
        <v>October</v>
      </c>
      <c r="D709" s="2" t="str">
        <f t="shared" si="23"/>
        <v>2018</v>
      </c>
      <c r="E709" s="2" t="s">
        <v>6329</v>
      </c>
      <c r="F709" t="s">
        <v>42</v>
      </c>
      <c r="G709" t="s">
        <v>3483</v>
      </c>
      <c r="H709" t="s">
        <v>3484</v>
      </c>
      <c r="I709" t="s">
        <v>35</v>
      </c>
      <c r="J709" t="s">
        <v>24</v>
      </c>
      <c r="K709" t="s">
        <v>73</v>
      </c>
      <c r="L709" t="s">
        <v>115</v>
      </c>
      <c r="M709" t="s">
        <v>83</v>
      </c>
      <c r="N709" t="s">
        <v>3485</v>
      </c>
      <c r="O709" t="s">
        <v>29</v>
      </c>
      <c r="P709" t="s">
        <v>39</v>
      </c>
      <c r="Q709" t="s">
        <v>1271</v>
      </c>
      <c r="R709">
        <v>414.65</v>
      </c>
      <c r="S709">
        <v>8</v>
      </c>
      <c r="T709">
        <v>0</v>
      </c>
      <c r="U709">
        <v>120.93</v>
      </c>
    </row>
    <row r="710" spans="1:21" x14ac:dyDescent="0.35">
      <c r="A710" t="s">
        <v>3486</v>
      </c>
      <c r="B710" s="2">
        <v>43382</v>
      </c>
      <c r="C710" s="2" t="str">
        <f t="shared" si="22"/>
        <v>October</v>
      </c>
      <c r="D710" s="2" t="str">
        <f t="shared" si="23"/>
        <v>2018</v>
      </c>
      <c r="E710" s="2" t="s">
        <v>5969</v>
      </c>
      <c r="F710" t="s">
        <v>62</v>
      </c>
      <c r="G710" t="s">
        <v>3487</v>
      </c>
      <c r="H710" t="s">
        <v>3488</v>
      </c>
      <c r="I710" t="s">
        <v>55</v>
      </c>
      <c r="J710" t="s">
        <v>24</v>
      </c>
      <c r="K710" t="s">
        <v>103</v>
      </c>
      <c r="L710" t="s">
        <v>115</v>
      </c>
      <c r="M710" t="s">
        <v>57</v>
      </c>
      <c r="N710" t="s">
        <v>3489</v>
      </c>
      <c r="O710" t="s">
        <v>48</v>
      </c>
      <c r="P710" t="s">
        <v>128</v>
      </c>
      <c r="Q710" t="s">
        <v>3490</v>
      </c>
      <c r="R710">
        <v>1641.78</v>
      </c>
      <c r="S710">
        <v>10</v>
      </c>
      <c r="T710">
        <v>0</v>
      </c>
      <c r="U710">
        <v>442.31</v>
      </c>
    </row>
    <row r="711" spans="1:21" x14ac:dyDescent="0.35">
      <c r="A711" t="s">
        <v>3491</v>
      </c>
      <c r="B711" s="2">
        <v>43707</v>
      </c>
      <c r="C711" s="2" t="str">
        <f t="shared" si="22"/>
        <v>August</v>
      </c>
      <c r="D711" s="2" t="str">
        <f t="shared" si="23"/>
        <v>2019</v>
      </c>
      <c r="E711" s="2">
        <v>43625</v>
      </c>
      <c r="F711" t="s">
        <v>62</v>
      </c>
      <c r="G711" t="s">
        <v>3492</v>
      </c>
      <c r="H711" t="s">
        <v>3493</v>
      </c>
      <c r="I711" t="s">
        <v>55</v>
      </c>
      <c r="J711" t="s">
        <v>24</v>
      </c>
      <c r="K711" t="s">
        <v>212</v>
      </c>
      <c r="L711" t="s">
        <v>90</v>
      </c>
      <c r="M711" t="s">
        <v>27</v>
      </c>
      <c r="N711" t="s">
        <v>3494</v>
      </c>
      <c r="O711" t="s">
        <v>67</v>
      </c>
      <c r="P711" t="s">
        <v>197</v>
      </c>
      <c r="Q711" t="s">
        <v>814</v>
      </c>
      <c r="R711">
        <v>326.82</v>
      </c>
      <c r="S711">
        <v>1</v>
      </c>
      <c r="T711">
        <v>0.4</v>
      </c>
      <c r="U711">
        <v>154.77000000000001</v>
      </c>
    </row>
    <row r="712" spans="1:21" x14ac:dyDescent="0.35">
      <c r="A712" t="s">
        <v>3495</v>
      </c>
      <c r="B712" s="2">
        <v>43066</v>
      </c>
      <c r="C712" s="2" t="str">
        <f t="shared" si="22"/>
        <v>November</v>
      </c>
      <c r="D712" s="2" t="str">
        <f t="shared" si="23"/>
        <v>2017</v>
      </c>
      <c r="E712" s="2">
        <v>42928</v>
      </c>
      <c r="F712" t="s">
        <v>42</v>
      </c>
      <c r="G712" t="s">
        <v>3496</v>
      </c>
      <c r="H712" t="s">
        <v>3497</v>
      </c>
      <c r="I712" t="s">
        <v>55</v>
      </c>
      <c r="J712" t="s">
        <v>24</v>
      </c>
      <c r="K712" t="s">
        <v>36</v>
      </c>
      <c r="L712" t="s">
        <v>115</v>
      </c>
      <c r="M712" t="s">
        <v>27</v>
      </c>
      <c r="N712" t="s">
        <v>3498</v>
      </c>
      <c r="O712" t="s">
        <v>67</v>
      </c>
      <c r="P712" t="s">
        <v>197</v>
      </c>
      <c r="Q712" t="s">
        <v>3031</v>
      </c>
      <c r="R712">
        <v>1812.66</v>
      </c>
      <c r="S712">
        <v>7</v>
      </c>
      <c r="T712">
        <v>0</v>
      </c>
      <c r="U712">
        <v>-398.43</v>
      </c>
    </row>
    <row r="713" spans="1:21" x14ac:dyDescent="0.35">
      <c r="A713" t="s">
        <v>3499</v>
      </c>
      <c r="B713" s="2">
        <v>43115</v>
      </c>
      <c r="C713" s="2" t="str">
        <f t="shared" si="22"/>
        <v>January</v>
      </c>
      <c r="D713" s="2" t="str">
        <f t="shared" si="23"/>
        <v>2018</v>
      </c>
      <c r="E713" s="2" t="s">
        <v>6063</v>
      </c>
      <c r="F713" t="s">
        <v>52</v>
      </c>
      <c r="G713" t="s">
        <v>3500</v>
      </c>
      <c r="H713" t="s">
        <v>3501</v>
      </c>
      <c r="I713" t="s">
        <v>55</v>
      </c>
      <c r="J713" t="s">
        <v>24</v>
      </c>
      <c r="K713" t="s">
        <v>133</v>
      </c>
      <c r="L713" t="s">
        <v>37</v>
      </c>
      <c r="M713" t="s">
        <v>74</v>
      </c>
      <c r="N713" t="s">
        <v>3502</v>
      </c>
      <c r="O713" t="s">
        <v>67</v>
      </c>
      <c r="P713" t="s">
        <v>117</v>
      </c>
      <c r="Q713" t="s">
        <v>3503</v>
      </c>
      <c r="R713">
        <v>88.85</v>
      </c>
      <c r="S713">
        <v>1</v>
      </c>
      <c r="T713">
        <v>0</v>
      </c>
      <c r="U713">
        <v>12.78</v>
      </c>
    </row>
    <row r="714" spans="1:21" x14ac:dyDescent="0.35">
      <c r="A714" t="s">
        <v>3504</v>
      </c>
      <c r="B714" s="2">
        <v>42473</v>
      </c>
      <c r="C714" s="2" t="str">
        <f t="shared" si="22"/>
        <v>April</v>
      </c>
      <c r="D714" s="2" t="str">
        <f t="shared" si="23"/>
        <v>2016</v>
      </c>
      <c r="E714" s="2" t="s">
        <v>6009</v>
      </c>
      <c r="F714" t="s">
        <v>62</v>
      </c>
      <c r="G714" t="s">
        <v>3505</v>
      </c>
      <c r="H714" t="s">
        <v>3506</v>
      </c>
      <c r="I714" t="s">
        <v>55</v>
      </c>
      <c r="J714" t="s">
        <v>24</v>
      </c>
      <c r="K714" t="s">
        <v>89</v>
      </c>
      <c r="L714" t="s">
        <v>115</v>
      </c>
      <c r="M714" t="s">
        <v>74</v>
      </c>
      <c r="N714" t="s">
        <v>3507</v>
      </c>
      <c r="O714" t="s">
        <v>67</v>
      </c>
      <c r="P714" t="s">
        <v>197</v>
      </c>
      <c r="Q714" t="s">
        <v>3508</v>
      </c>
      <c r="R714">
        <v>1440.59</v>
      </c>
      <c r="S714">
        <v>7</v>
      </c>
      <c r="T714">
        <v>0</v>
      </c>
      <c r="U714">
        <v>70.12</v>
      </c>
    </row>
    <row r="715" spans="1:21" x14ac:dyDescent="0.35">
      <c r="A715" t="s">
        <v>3509</v>
      </c>
      <c r="B715" s="2">
        <v>42544</v>
      </c>
      <c r="C715" s="2" t="str">
        <f t="shared" si="22"/>
        <v>June</v>
      </c>
      <c r="D715" s="2" t="str">
        <f t="shared" si="23"/>
        <v>2016</v>
      </c>
      <c r="E715" s="2" t="s">
        <v>5986</v>
      </c>
      <c r="F715" t="s">
        <v>20</v>
      </c>
      <c r="G715" t="s">
        <v>3510</v>
      </c>
      <c r="H715" t="s">
        <v>3511</v>
      </c>
      <c r="I715" t="s">
        <v>55</v>
      </c>
      <c r="J715" t="s">
        <v>24</v>
      </c>
      <c r="K715" t="s">
        <v>45</v>
      </c>
      <c r="L715" t="s">
        <v>37</v>
      </c>
      <c r="M715" t="s">
        <v>57</v>
      </c>
      <c r="N715" t="s">
        <v>3512</v>
      </c>
      <c r="O715" t="s">
        <v>48</v>
      </c>
      <c r="P715" t="s">
        <v>76</v>
      </c>
      <c r="Q715" t="s">
        <v>3513</v>
      </c>
      <c r="R715">
        <v>1000.12</v>
      </c>
      <c r="S715">
        <v>10</v>
      </c>
      <c r="T715">
        <v>0.2</v>
      </c>
      <c r="U715">
        <v>-286.98</v>
      </c>
    </row>
    <row r="716" spans="1:21" x14ac:dyDescent="0.35">
      <c r="A716" t="s">
        <v>3514</v>
      </c>
      <c r="B716" s="2">
        <v>43004</v>
      </c>
      <c r="C716" s="2" t="str">
        <f t="shared" si="22"/>
        <v>September</v>
      </c>
      <c r="D716" s="2" t="str">
        <f t="shared" si="23"/>
        <v>2017</v>
      </c>
      <c r="E716" s="2">
        <v>42776</v>
      </c>
      <c r="F716" t="s">
        <v>52</v>
      </c>
      <c r="G716" t="s">
        <v>3515</v>
      </c>
      <c r="H716" t="s">
        <v>2433</v>
      </c>
      <c r="I716" t="s">
        <v>23</v>
      </c>
      <c r="J716" t="s">
        <v>24</v>
      </c>
      <c r="K716" t="s">
        <v>133</v>
      </c>
      <c r="L716" t="s">
        <v>65</v>
      </c>
      <c r="M716" t="s">
        <v>27</v>
      </c>
      <c r="N716" t="s">
        <v>3516</v>
      </c>
      <c r="O716" t="s">
        <v>29</v>
      </c>
      <c r="P716" t="s">
        <v>155</v>
      </c>
      <c r="Q716" t="s">
        <v>3517</v>
      </c>
      <c r="R716">
        <v>628.83000000000004</v>
      </c>
      <c r="S716">
        <v>10</v>
      </c>
      <c r="T716">
        <v>0</v>
      </c>
      <c r="U716">
        <v>-70.11</v>
      </c>
    </row>
    <row r="717" spans="1:21" x14ac:dyDescent="0.35">
      <c r="A717" t="s">
        <v>3518</v>
      </c>
      <c r="B717" s="2">
        <v>43714</v>
      </c>
      <c r="C717" s="2" t="str">
        <f t="shared" si="22"/>
        <v>September</v>
      </c>
      <c r="D717" s="2" t="str">
        <f t="shared" si="23"/>
        <v>2019</v>
      </c>
      <c r="E717" s="2">
        <v>43655</v>
      </c>
      <c r="F717" t="s">
        <v>62</v>
      </c>
      <c r="G717" t="s">
        <v>3519</v>
      </c>
      <c r="H717" t="s">
        <v>3520</v>
      </c>
      <c r="I717" t="s">
        <v>35</v>
      </c>
      <c r="J717" t="s">
        <v>24</v>
      </c>
      <c r="K717" t="s">
        <v>73</v>
      </c>
      <c r="L717" t="s">
        <v>36</v>
      </c>
      <c r="M717" t="s">
        <v>27</v>
      </c>
      <c r="N717" t="s">
        <v>3521</v>
      </c>
      <c r="O717" t="s">
        <v>67</v>
      </c>
      <c r="P717" t="s">
        <v>92</v>
      </c>
      <c r="Q717" t="s">
        <v>3522</v>
      </c>
      <c r="R717">
        <v>1568.91</v>
      </c>
      <c r="S717">
        <v>5</v>
      </c>
      <c r="T717">
        <v>0</v>
      </c>
      <c r="U717">
        <v>-280.43</v>
      </c>
    </row>
    <row r="718" spans="1:21" x14ac:dyDescent="0.35">
      <c r="A718" t="s">
        <v>3523</v>
      </c>
      <c r="B718" s="2">
        <v>43122</v>
      </c>
      <c r="C718" s="2" t="str">
        <f t="shared" si="22"/>
        <v>January</v>
      </c>
      <c r="D718" s="2" t="str">
        <f t="shared" si="23"/>
        <v>2018</v>
      </c>
      <c r="E718" s="2" t="s">
        <v>5909</v>
      </c>
      <c r="F718" t="s">
        <v>42</v>
      </c>
      <c r="G718" t="s">
        <v>3524</v>
      </c>
      <c r="H718" t="s">
        <v>3525</v>
      </c>
      <c r="I718" t="s">
        <v>23</v>
      </c>
      <c r="J718" t="s">
        <v>24</v>
      </c>
      <c r="K718" t="s">
        <v>212</v>
      </c>
      <c r="L718" t="s">
        <v>36</v>
      </c>
      <c r="M718" t="s">
        <v>57</v>
      </c>
      <c r="N718" t="s">
        <v>3526</v>
      </c>
      <c r="O718" t="s">
        <v>48</v>
      </c>
      <c r="P718" t="s">
        <v>76</v>
      </c>
      <c r="Q718" t="s">
        <v>3527</v>
      </c>
      <c r="R718">
        <v>876.49</v>
      </c>
      <c r="S718">
        <v>1</v>
      </c>
      <c r="T718">
        <v>0</v>
      </c>
      <c r="U718">
        <v>47.71</v>
      </c>
    </row>
    <row r="719" spans="1:21" x14ac:dyDescent="0.35">
      <c r="A719" t="s">
        <v>3528</v>
      </c>
      <c r="B719" s="2">
        <v>42541</v>
      </c>
      <c r="C719" s="2" t="str">
        <f t="shared" si="22"/>
        <v>June</v>
      </c>
      <c r="D719" s="2" t="str">
        <f t="shared" si="23"/>
        <v>2016</v>
      </c>
      <c r="E719" s="2" t="s">
        <v>6338</v>
      </c>
      <c r="F719" t="s">
        <v>52</v>
      </c>
      <c r="G719" t="s">
        <v>3529</v>
      </c>
      <c r="H719" t="s">
        <v>3530</v>
      </c>
      <c r="I719" t="s">
        <v>55</v>
      </c>
      <c r="J719" t="s">
        <v>24</v>
      </c>
      <c r="K719" t="s">
        <v>25</v>
      </c>
      <c r="L719" t="s">
        <v>56</v>
      </c>
      <c r="M719" t="s">
        <v>57</v>
      </c>
      <c r="N719" t="s">
        <v>3531</v>
      </c>
      <c r="O719" t="s">
        <v>48</v>
      </c>
      <c r="P719" t="s">
        <v>59</v>
      </c>
      <c r="Q719" t="s">
        <v>3532</v>
      </c>
      <c r="R719">
        <v>510.81</v>
      </c>
      <c r="S719">
        <v>10</v>
      </c>
      <c r="T719">
        <v>0</v>
      </c>
      <c r="U719">
        <v>104.33</v>
      </c>
    </row>
    <row r="720" spans="1:21" x14ac:dyDescent="0.35">
      <c r="A720" t="s">
        <v>3533</v>
      </c>
      <c r="B720" s="2">
        <v>42909</v>
      </c>
      <c r="C720" s="2" t="str">
        <f t="shared" si="22"/>
        <v>June</v>
      </c>
      <c r="D720" s="2" t="str">
        <f t="shared" si="23"/>
        <v>2017</v>
      </c>
      <c r="E720" s="2">
        <v>42742</v>
      </c>
      <c r="F720" t="s">
        <v>20</v>
      </c>
      <c r="G720" t="s">
        <v>3534</v>
      </c>
      <c r="H720" t="s">
        <v>3535</v>
      </c>
      <c r="I720" t="s">
        <v>55</v>
      </c>
      <c r="J720" t="s">
        <v>24</v>
      </c>
      <c r="K720" t="s">
        <v>45</v>
      </c>
      <c r="L720" t="s">
        <v>36</v>
      </c>
      <c r="M720" t="s">
        <v>57</v>
      </c>
      <c r="N720" t="s">
        <v>3536</v>
      </c>
      <c r="O720" t="s">
        <v>48</v>
      </c>
      <c r="P720" t="s">
        <v>128</v>
      </c>
      <c r="Q720" t="s">
        <v>1169</v>
      </c>
      <c r="R720">
        <v>1957.7</v>
      </c>
      <c r="S720">
        <v>10</v>
      </c>
      <c r="T720">
        <v>0</v>
      </c>
      <c r="U720">
        <v>280.97000000000003</v>
      </c>
    </row>
    <row r="721" spans="1:21" x14ac:dyDescent="0.35">
      <c r="A721" t="s">
        <v>3537</v>
      </c>
      <c r="B721" s="2">
        <v>42492</v>
      </c>
      <c r="C721" s="2" t="str">
        <f t="shared" si="22"/>
        <v>May</v>
      </c>
      <c r="D721" s="2" t="str">
        <f t="shared" si="23"/>
        <v>2016</v>
      </c>
      <c r="E721" s="2">
        <v>42648</v>
      </c>
      <c r="F721" t="s">
        <v>42</v>
      </c>
      <c r="G721" t="s">
        <v>3538</v>
      </c>
      <c r="H721" t="s">
        <v>3539</v>
      </c>
      <c r="I721" t="s">
        <v>35</v>
      </c>
      <c r="J721" t="s">
        <v>24</v>
      </c>
      <c r="K721" t="s">
        <v>97</v>
      </c>
      <c r="L721" t="s">
        <v>82</v>
      </c>
      <c r="M721" t="s">
        <v>74</v>
      </c>
      <c r="N721" t="s">
        <v>3540</v>
      </c>
      <c r="O721" t="s">
        <v>29</v>
      </c>
      <c r="P721" t="s">
        <v>39</v>
      </c>
      <c r="Q721" t="s">
        <v>3541</v>
      </c>
      <c r="R721">
        <v>1294.42</v>
      </c>
      <c r="S721">
        <v>2</v>
      </c>
      <c r="T721">
        <v>0</v>
      </c>
      <c r="U721">
        <v>288.83999999999997</v>
      </c>
    </row>
    <row r="722" spans="1:21" x14ac:dyDescent="0.35">
      <c r="A722" t="s">
        <v>3542</v>
      </c>
      <c r="B722" s="2">
        <v>43258</v>
      </c>
      <c r="C722" s="2" t="str">
        <f t="shared" si="22"/>
        <v>June</v>
      </c>
      <c r="D722" s="2" t="str">
        <f t="shared" si="23"/>
        <v>2018</v>
      </c>
      <c r="E722" s="2">
        <v>43318</v>
      </c>
      <c r="F722" t="s">
        <v>42</v>
      </c>
      <c r="G722" t="s">
        <v>3543</v>
      </c>
      <c r="H722" t="s">
        <v>3544</v>
      </c>
      <c r="I722" t="s">
        <v>35</v>
      </c>
      <c r="J722" t="s">
        <v>24</v>
      </c>
      <c r="K722" t="s">
        <v>133</v>
      </c>
      <c r="L722" t="s">
        <v>36</v>
      </c>
      <c r="M722" t="s">
        <v>27</v>
      </c>
      <c r="N722" t="s">
        <v>3545</v>
      </c>
      <c r="O722" t="s">
        <v>29</v>
      </c>
      <c r="P722" t="s">
        <v>30</v>
      </c>
      <c r="Q722" t="s">
        <v>3546</v>
      </c>
      <c r="R722">
        <v>957.72</v>
      </c>
      <c r="S722">
        <v>5</v>
      </c>
      <c r="T722">
        <v>0</v>
      </c>
      <c r="U722">
        <v>104.86</v>
      </c>
    </row>
    <row r="723" spans="1:21" x14ac:dyDescent="0.35">
      <c r="A723" t="s">
        <v>3547</v>
      </c>
      <c r="B723" s="2">
        <v>42560</v>
      </c>
      <c r="C723" s="2" t="str">
        <f t="shared" si="22"/>
        <v>July</v>
      </c>
      <c r="D723" s="2" t="str">
        <f t="shared" si="23"/>
        <v>2016</v>
      </c>
      <c r="E723" s="2">
        <v>42650</v>
      </c>
      <c r="F723" t="s">
        <v>62</v>
      </c>
      <c r="G723" t="s">
        <v>3548</v>
      </c>
      <c r="H723" t="s">
        <v>3549</v>
      </c>
      <c r="I723" t="s">
        <v>55</v>
      </c>
      <c r="J723" t="s">
        <v>24</v>
      </c>
      <c r="K723" t="s">
        <v>89</v>
      </c>
      <c r="L723" t="s">
        <v>56</v>
      </c>
      <c r="M723" t="s">
        <v>74</v>
      </c>
      <c r="N723" t="s">
        <v>3550</v>
      </c>
      <c r="O723" t="s">
        <v>29</v>
      </c>
      <c r="P723" t="s">
        <v>110</v>
      </c>
      <c r="Q723" t="s">
        <v>335</v>
      </c>
      <c r="R723">
        <v>1270.3900000000001</v>
      </c>
      <c r="S723">
        <v>9</v>
      </c>
      <c r="T723">
        <v>0</v>
      </c>
      <c r="U723">
        <v>221.46</v>
      </c>
    </row>
    <row r="724" spans="1:21" x14ac:dyDescent="0.35">
      <c r="A724" t="s">
        <v>3551</v>
      </c>
      <c r="B724" s="2">
        <v>43145</v>
      </c>
      <c r="C724" s="2" t="str">
        <f t="shared" si="22"/>
        <v>February</v>
      </c>
      <c r="D724" s="2" t="str">
        <f t="shared" si="23"/>
        <v>2018</v>
      </c>
      <c r="E724" s="2" t="s">
        <v>5997</v>
      </c>
      <c r="F724" t="s">
        <v>20</v>
      </c>
      <c r="G724" t="s">
        <v>3552</v>
      </c>
      <c r="H724" t="s">
        <v>3553</v>
      </c>
      <c r="I724" t="s">
        <v>55</v>
      </c>
      <c r="J724" t="s">
        <v>24</v>
      </c>
      <c r="K724" t="s">
        <v>81</v>
      </c>
      <c r="L724" t="s">
        <v>65</v>
      </c>
      <c r="M724" t="s">
        <v>57</v>
      </c>
      <c r="N724" t="s">
        <v>3554</v>
      </c>
      <c r="O724" t="s">
        <v>67</v>
      </c>
      <c r="P724" t="s">
        <v>197</v>
      </c>
      <c r="Q724" t="s">
        <v>3555</v>
      </c>
      <c r="R724">
        <v>226.4</v>
      </c>
      <c r="S724">
        <v>10</v>
      </c>
      <c r="T724">
        <v>0.4</v>
      </c>
      <c r="U724">
        <v>-50.63</v>
      </c>
    </row>
    <row r="725" spans="1:21" x14ac:dyDescent="0.35">
      <c r="A725" t="s">
        <v>3556</v>
      </c>
      <c r="B725" s="2">
        <v>43081</v>
      </c>
      <c r="C725" s="2" t="str">
        <f t="shared" si="22"/>
        <v>December</v>
      </c>
      <c r="D725" s="2" t="str">
        <f t="shared" si="23"/>
        <v>2017</v>
      </c>
      <c r="E725" s="2" t="s">
        <v>5987</v>
      </c>
      <c r="F725" t="s">
        <v>42</v>
      </c>
      <c r="G725" t="s">
        <v>3557</v>
      </c>
      <c r="H725" t="s">
        <v>3558</v>
      </c>
      <c r="I725" t="s">
        <v>35</v>
      </c>
      <c r="J725" t="s">
        <v>24</v>
      </c>
      <c r="K725" t="s">
        <v>45</v>
      </c>
      <c r="L725" t="s">
        <v>170</v>
      </c>
      <c r="M725" t="s">
        <v>83</v>
      </c>
      <c r="N725" t="s">
        <v>3559</v>
      </c>
      <c r="O725" t="s">
        <v>48</v>
      </c>
      <c r="P725" t="s">
        <v>76</v>
      </c>
      <c r="Q725" t="s">
        <v>3560</v>
      </c>
      <c r="R725">
        <v>1096.21</v>
      </c>
      <c r="S725">
        <v>6</v>
      </c>
      <c r="T725">
        <v>0.2</v>
      </c>
      <c r="U725">
        <v>251.93</v>
      </c>
    </row>
    <row r="726" spans="1:21" x14ac:dyDescent="0.35">
      <c r="A726" t="s">
        <v>3561</v>
      </c>
      <c r="B726" s="2">
        <v>42961</v>
      </c>
      <c r="C726" s="2" t="str">
        <f t="shared" si="22"/>
        <v>August</v>
      </c>
      <c r="D726" s="2" t="str">
        <f t="shared" si="23"/>
        <v>2017</v>
      </c>
      <c r="E726" s="2" t="s">
        <v>6339</v>
      </c>
      <c r="F726" t="s">
        <v>20</v>
      </c>
      <c r="G726" t="s">
        <v>3562</v>
      </c>
      <c r="H726" t="s">
        <v>3563</v>
      </c>
      <c r="I726" t="s">
        <v>35</v>
      </c>
      <c r="J726" t="s">
        <v>24</v>
      </c>
      <c r="K726" t="s">
        <v>89</v>
      </c>
      <c r="L726" t="s">
        <v>170</v>
      </c>
      <c r="M726" t="s">
        <v>74</v>
      </c>
      <c r="N726" t="s">
        <v>3564</v>
      </c>
      <c r="O726" t="s">
        <v>67</v>
      </c>
      <c r="P726" t="s">
        <v>68</v>
      </c>
      <c r="Q726" t="s">
        <v>3565</v>
      </c>
      <c r="R726">
        <v>1435.38</v>
      </c>
      <c r="S726">
        <v>9</v>
      </c>
      <c r="T726">
        <v>0.2</v>
      </c>
      <c r="U726">
        <v>-317.05</v>
      </c>
    </row>
    <row r="727" spans="1:21" x14ac:dyDescent="0.35">
      <c r="A727" t="s">
        <v>3566</v>
      </c>
      <c r="B727" s="2">
        <v>42921</v>
      </c>
      <c r="C727" s="2" t="str">
        <f t="shared" si="22"/>
        <v>July</v>
      </c>
      <c r="D727" s="2" t="str">
        <f t="shared" si="23"/>
        <v>2017</v>
      </c>
      <c r="E727" s="2">
        <v>43015</v>
      </c>
      <c r="F727" t="s">
        <v>52</v>
      </c>
      <c r="G727" t="s">
        <v>3567</v>
      </c>
      <c r="H727" t="s">
        <v>3568</v>
      </c>
      <c r="I727" t="s">
        <v>23</v>
      </c>
      <c r="J727" t="s">
        <v>24</v>
      </c>
      <c r="K727" t="s">
        <v>45</v>
      </c>
      <c r="L727" t="s">
        <v>36</v>
      </c>
      <c r="M727" t="s">
        <v>57</v>
      </c>
      <c r="N727" t="s">
        <v>3569</v>
      </c>
      <c r="O727" t="s">
        <v>29</v>
      </c>
      <c r="P727" t="s">
        <v>30</v>
      </c>
      <c r="Q727" t="s">
        <v>3570</v>
      </c>
      <c r="R727">
        <v>1868.3</v>
      </c>
      <c r="S727">
        <v>2</v>
      </c>
      <c r="T727">
        <v>0.3</v>
      </c>
      <c r="U727">
        <v>77.86</v>
      </c>
    </row>
    <row r="728" spans="1:21" x14ac:dyDescent="0.35">
      <c r="A728" t="s">
        <v>3571</v>
      </c>
      <c r="B728" s="2">
        <v>42800</v>
      </c>
      <c r="C728" s="2" t="str">
        <f t="shared" si="22"/>
        <v>March</v>
      </c>
      <c r="D728" s="2" t="str">
        <f t="shared" si="23"/>
        <v>2017</v>
      </c>
      <c r="E728" s="2">
        <v>43042</v>
      </c>
      <c r="F728" t="s">
        <v>62</v>
      </c>
      <c r="G728" t="s">
        <v>3572</v>
      </c>
      <c r="H728" t="s">
        <v>3573</v>
      </c>
      <c r="I728" t="s">
        <v>35</v>
      </c>
      <c r="J728" t="s">
        <v>24</v>
      </c>
      <c r="K728" t="s">
        <v>133</v>
      </c>
      <c r="L728" t="s">
        <v>90</v>
      </c>
      <c r="M728" t="s">
        <v>27</v>
      </c>
      <c r="N728" t="s">
        <v>3574</v>
      </c>
      <c r="O728" t="s">
        <v>67</v>
      </c>
      <c r="P728" t="s">
        <v>229</v>
      </c>
      <c r="Q728" t="s">
        <v>1971</v>
      </c>
      <c r="R728">
        <v>1061.18</v>
      </c>
      <c r="S728">
        <v>3</v>
      </c>
      <c r="T728">
        <v>0</v>
      </c>
      <c r="U728">
        <v>-311.51</v>
      </c>
    </row>
    <row r="729" spans="1:21" x14ac:dyDescent="0.35">
      <c r="A729" t="s">
        <v>3575</v>
      </c>
      <c r="B729" s="2">
        <v>42469</v>
      </c>
      <c r="C729" s="2" t="str">
        <f t="shared" si="22"/>
        <v>April</v>
      </c>
      <c r="D729" s="2" t="str">
        <f t="shared" si="23"/>
        <v>2016</v>
      </c>
      <c r="E729" s="2" t="s">
        <v>6058</v>
      </c>
      <c r="F729" t="s">
        <v>52</v>
      </c>
      <c r="G729" t="s">
        <v>3576</v>
      </c>
      <c r="H729" t="s">
        <v>3577</v>
      </c>
      <c r="I729" t="s">
        <v>35</v>
      </c>
      <c r="J729" t="s">
        <v>24</v>
      </c>
      <c r="K729" t="s">
        <v>97</v>
      </c>
      <c r="L729" t="s">
        <v>170</v>
      </c>
      <c r="M729" t="s">
        <v>57</v>
      </c>
      <c r="N729" t="s">
        <v>3578</v>
      </c>
      <c r="O729" t="s">
        <v>48</v>
      </c>
      <c r="P729" t="s">
        <v>128</v>
      </c>
      <c r="Q729" t="s">
        <v>3579</v>
      </c>
      <c r="R729">
        <v>133.97</v>
      </c>
      <c r="S729">
        <v>3</v>
      </c>
      <c r="T729">
        <v>0</v>
      </c>
      <c r="U729">
        <v>56.53</v>
      </c>
    </row>
    <row r="730" spans="1:21" x14ac:dyDescent="0.35">
      <c r="A730" t="s">
        <v>3580</v>
      </c>
      <c r="B730" s="2">
        <v>43079</v>
      </c>
      <c r="C730" s="2" t="str">
        <f t="shared" si="22"/>
        <v>December</v>
      </c>
      <c r="D730" s="2" t="str">
        <f t="shared" si="23"/>
        <v>2017</v>
      </c>
      <c r="E730" s="2" t="s">
        <v>6303</v>
      </c>
      <c r="F730" t="s">
        <v>62</v>
      </c>
      <c r="G730" t="s">
        <v>3581</v>
      </c>
      <c r="H730" t="s">
        <v>3582</v>
      </c>
      <c r="I730" t="s">
        <v>55</v>
      </c>
      <c r="J730" t="s">
        <v>24</v>
      </c>
      <c r="K730" t="s">
        <v>73</v>
      </c>
      <c r="L730" t="s">
        <v>170</v>
      </c>
      <c r="M730" t="s">
        <v>83</v>
      </c>
      <c r="N730" t="s">
        <v>3583</v>
      </c>
      <c r="O730" t="s">
        <v>29</v>
      </c>
      <c r="P730" t="s">
        <v>155</v>
      </c>
      <c r="Q730" t="s">
        <v>3584</v>
      </c>
      <c r="R730">
        <v>1158.5899999999999</v>
      </c>
      <c r="S730">
        <v>5</v>
      </c>
      <c r="T730">
        <v>0.1</v>
      </c>
      <c r="U730">
        <v>145.85</v>
      </c>
    </row>
    <row r="731" spans="1:21" x14ac:dyDescent="0.35">
      <c r="A731" t="s">
        <v>3585</v>
      </c>
      <c r="B731" s="2">
        <v>42544</v>
      </c>
      <c r="C731" s="2" t="str">
        <f t="shared" si="22"/>
        <v>June</v>
      </c>
      <c r="D731" s="2" t="str">
        <f t="shared" si="23"/>
        <v>2016</v>
      </c>
      <c r="E731" s="2" t="s">
        <v>6340</v>
      </c>
      <c r="F731" t="s">
        <v>42</v>
      </c>
      <c r="G731" t="s">
        <v>3586</v>
      </c>
      <c r="H731" t="s">
        <v>3549</v>
      </c>
      <c r="I731" t="s">
        <v>35</v>
      </c>
      <c r="J731" t="s">
        <v>24</v>
      </c>
      <c r="K731" t="s">
        <v>73</v>
      </c>
      <c r="L731" t="s">
        <v>65</v>
      </c>
      <c r="M731" t="s">
        <v>74</v>
      </c>
      <c r="N731" t="s">
        <v>3587</v>
      </c>
      <c r="O731" t="s">
        <v>67</v>
      </c>
      <c r="P731" t="s">
        <v>68</v>
      </c>
      <c r="Q731" t="s">
        <v>3588</v>
      </c>
      <c r="R731">
        <v>1285.25</v>
      </c>
      <c r="S731">
        <v>4</v>
      </c>
      <c r="T731">
        <v>0</v>
      </c>
      <c r="U731">
        <v>313.26</v>
      </c>
    </row>
    <row r="732" spans="1:21" x14ac:dyDescent="0.35">
      <c r="A732" t="s">
        <v>3589</v>
      </c>
      <c r="B732" s="2">
        <v>43035</v>
      </c>
      <c r="C732" s="2" t="str">
        <f t="shared" si="22"/>
        <v>October</v>
      </c>
      <c r="D732" s="2" t="str">
        <f t="shared" si="23"/>
        <v>2017</v>
      </c>
      <c r="E732" s="2">
        <v>42805</v>
      </c>
      <c r="F732" t="s">
        <v>52</v>
      </c>
      <c r="G732" t="s">
        <v>3590</v>
      </c>
      <c r="H732" t="s">
        <v>3591</v>
      </c>
      <c r="I732" t="s">
        <v>35</v>
      </c>
      <c r="J732" t="s">
        <v>24</v>
      </c>
      <c r="K732" t="s">
        <v>36</v>
      </c>
      <c r="L732" t="s">
        <v>82</v>
      </c>
      <c r="M732" t="s">
        <v>74</v>
      </c>
      <c r="N732" t="s">
        <v>3592</v>
      </c>
      <c r="O732" t="s">
        <v>67</v>
      </c>
      <c r="P732" t="s">
        <v>229</v>
      </c>
      <c r="Q732" t="s">
        <v>3593</v>
      </c>
      <c r="R732">
        <v>1031.03</v>
      </c>
      <c r="S732">
        <v>4</v>
      </c>
      <c r="T732">
        <v>0</v>
      </c>
      <c r="U732">
        <v>153.80000000000001</v>
      </c>
    </row>
    <row r="733" spans="1:21" x14ac:dyDescent="0.35">
      <c r="A733" t="s">
        <v>3594</v>
      </c>
      <c r="B733" s="2">
        <v>42780</v>
      </c>
      <c r="C733" s="2" t="str">
        <f t="shared" si="22"/>
        <v>February</v>
      </c>
      <c r="D733" s="2" t="str">
        <f t="shared" si="23"/>
        <v>2017</v>
      </c>
      <c r="E733" s="2" t="s">
        <v>6166</v>
      </c>
      <c r="F733" t="s">
        <v>62</v>
      </c>
      <c r="G733" t="s">
        <v>3595</v>
      </c>
      <c r="H733" t="s">
        <v>3596</v>
      </c>
      <c r="I733" t="s">
        <v>23</v>
      </c>
      <c r="J733" t="s">
        <v>24</v>
      </c>
      <c r="K733" t="s">
        <v>97</v>
      </c>
      <c r="L733" t="s">
        <v>65</v>
      </c>
      <c r="M733" t="s">
        <v>27</v>
      </c>
      <c r="N733" t="s">
        <v>3597</v>
      </c>
      <c r="O733" t="s">
        <v>48</v>
      </c>
      <c r="P733" t="s">
        <v>59</v>
      </c>
      <c r="Q733" t="s">
        <v>3598</v>
      </c>
      <c r="R733">
        <v>1123.99</v>
      </c>
      <c r="S733">
        <v>3</v>
      </c>
      <c r="T733">
        <v>0</v>
      </c>
      <c r="U733">
        <v>130.99</v>
      </c>
    </row>
    <row r="734" spans="1:21" x14ac:dyDescent="0.35">
      <c r="A734" t="s">
        <v>3599</v>
      </c>
      <c r="B734" s="2">
        <v>43420</v>
      </c>
      <c r="C734" s="2" t="str">
        <f t="shared" si="22"/>
        <v>November</v>
      </c>
      <c r="D734" s="2" t="str">
        <f t="shared" si="23"/>
        <v>2018</v>
      </c>
      <c r="E734" s="2" t="s">
        <v>6050</v>
      </c>
      <c r="F734" t="s">
        <v>42</v>
      </c>
      <c r="G734" t="s">
        <v>3600</v>
      </c>
      <c r="H734" t="s">
        <v>3601</v>
      </c>
      <c r="I734" t="s">
        <v>35</v>
      </c>
      <c r="J734" t="s">
        <v>24</v>
      </c>
      <c r="K734" t="s">
        <v>81</v>
      </c>
      <c r="L734" t="s">
        <v>56</v>
      </c>
      <c r="M734" t="s">
        <v>74</v>
      </c>
      <c r="N734" t="s">
        <v>3602</v>
      </c>
      <c r="O734" t="s">
        <v>48</v>
      </c>
      <c r="P734" t="s">
        <v>76</v>
      </c>
      <c r="Q734" t="s">
        <v>3603</v>
      </c>
      <c r="R734">
        <v>1662.11</v>
      </c>
      <c r="S734">
        <v>9</v>
      </c>
      <c r="T734">
        <v>0</v>
      </c>
      <c r="U734">
        <v>-301.45999999999998</v>
      </c>
    </row>
    <row r="735" spans="1:21" x14ac:dyDescent="0.35">
      <c r="A735" t="s">
        <v>3604</v>
      </c>
      <c r="B735" s="2">
        <v>42521</v>
      </c>
      <c r="C735" s="2" t="str">
        <f t="shared" si="22"/>
        <v>May</v>
      </c>
      <c r="D735" s="2" t="str">
        <f t="shared" si="23"/>
        <v>2016</v>
      </c>
      <c r="E735" s="2">
        <v>42466</v>
      </c>
      <c r="F735" t="s">
        <v>52</v>
      </c>
      <c r="G735" t="s">
        <v>3605</v>
      </c>
      <c r="H735" t="s">
        <v>3606</v>
      </c>
      <c r="I735" t="s">
        <v>55</v>
      </c>
      <c r="J735" t="s">
        <v>24</v>
      </c>
      <c r="K735" t="s">
        <v>73</v>
      </c>
      <c r="L735" t="s">
        <v>170</v>
      </c>
      <c r="M735" t="s">
        <v>27</v>
      </c>
      <c r="N735" t="s">
        <v>3607</v>
      </c>
      <c r="O735" t="s">
        <v>67</v>
      </c>
      <c r="P735" t="s">
        <v>229</v>
      </c>
      <c r="Q735" t="s">
        <v>1381</v>
      </c>
      <c r="R735">
        <v>1518.27</v>
      </c>
      <c r="S735">
        <v>5</v>
      </c>
      <c r="T735">
        <v>0</v>
      </c>
      <c r="U735">
        <v>465.77</v>
      </c>
    </row>
    <row r="736" spans="1:21" x14ac:dyDescent="0.35">
      <c r="A736" t="s">
        <v>3608</v>
      </c>
      <c r="B736" s="2">
        <v>42918</v>
      </c>
      <c r="C736" s="2" t="str">
        <f t="shared" si="22"/>
        <v>July</v>
      </c>
      <c r="D736" s="2" t="str">
        <f t="shared" si="23"/>
        <v>2017</v>
      </c>
      <c r="E736" s="2">
        <v>42832</v>
      </c>
      <c r="F736" t="s">
        <v>42</v>
      </c>
      <c r="G736" t="s">
        <v>3609</v>
      </c>
      <c r="H736" t="s">
        <v>3610</v>
      </c>
      <c r="I736" t="s">
        <v>35</v>
      </c>
      <c r="J736" t="s">
        <v>24</v>
      </c>
      <c r="K736" t="s">
        <v>36</v>
      </c>
      <c r="L736" t="s">
        <v>46</v>
      </c>
      <c r="M736" t="s">
        <v>83</v>
      </c>
      <c r="N736" t="s">
        <v>3611</v>
      </c>
      <c r="O736" t="s">
        <v>67</v>
      </c>
      <c r="P736" t="s">
        <v>117</v>
      </c>
      <c r="Q736" t="s">
        <v>3612</v>
      </c>
      <c r="R736">
        <v>348.17</v>
      </c>
      <c r="S736">
        <v>8</v>
      </c>
      <c r="T736">
        <v>0.4</v>
      </c>
      <c r="U736">
        <v>132.4</v>
      </c>
    </row>
    <row r="737" spans="1:21" x14ac:dyDescent="0.35">
      <c r="A737" t="s">
        <v>3613</v>
      </c>
      <c r="B737" s="2">
        <v>43568</v>
      </c>
      <c r="C737" s="2" t="str">
        <f t="shared" si="22"/>
        <v>April</v>
      </c>
      <c r="D737" s="2" t="str">
        <f t="shared" si="23"/>
        <v>2019</v>
      </c>
      <c r="E737" s="2" t="s">
        <v>6031</v>
      </c>
      <c r="F737" t="s">
        <v>62</v>
      </c>
      <c r="G737" t="s">
        <v>3614</v>
      </c>
      <c r="H737" t="s">
        <v>3615</v>
      </c>
      <c r="I737" t="s">
        <v>23</v>
      </c>
      <c r="J737" t="s">
        <v>24</v>
      </c>
      <c r="K737" t="s">
        <v>133</v>
      </c>
      <c r="L737" t="s">
        <v>46</v>
      </c>
      <c r="M737" t="s">
        <v>57</v>
      </c>
      <c r="N737" t="s">
        <v>3616</v>
      </c>
      <c r="O737" t="s">
        <v>67</v>
      </c>
      <c r="P737" t="s">
        <v>350</v>
      </c>
      <c r="Q737" t="s">
        <v>3617</v>
      </c>
      <c r="R737">
        <v>1564.27</v>
      </c>
      <c r="S737">
        <v>9</v>
      </c>
      <c r="T737">
        <v>0.1</v>
      </c>
      <c r="U737">
        <v>700.62</v>
      </c>
    </row>
    <row r="738" spans="1:21" x14ac:dyDescent="0.35">
      <c r="A738" t="s">
        <v>3618</v>
      </c>
      <c r="B738" s="2">
        <v>43273</v>
      </c>
      <c r="C738" s="2" t="str">
        <f t="shared" si="22"/>
        <v>June</v>
      </c>
      <c r="D738" s="2" t="str">
        <f t="shared" si="23"/>
        <v>2018</v>
      </c>
      <c r="E738" s="2" t="s">
        <v>6319</v>
      </c>
      <c r="F738" t="s">
        <v>42</v>
      </c>
      <c r="G738" t="s">
        <v>3619</v>
      </c>
      <c r="H738" t="s">
        <v>3620</v>
      </c>
      <c r="I738" t="s">
        <v>23</v>
      </c>
      <c r="J738" t="s">
        <v>24</v>
      </c>
      <c r="K738" t="s">
        <v>36</v>
      </c>
      <c r="L738" t="s">
        <v>170</v>
      </c>
      <c r="M738" t="s">
        <v>57</v>
      </c>
      <c r="N738" t="s">
        <v>3621</v>
      </c>
      <c r="O738" t="s">
        <v>48</v>
      </c>
      <c r="P738" t="s">
        <v>76</v>
      </c>
      <c r="Q738" t="s">
        <v>3560</v>
      </c>
      <c r="R738">
        <v>1126.6500000000001</v>
      </c>
      <c r="S738">
        <v>9</v>
      </c>
      <c r="T738">
        <v>0.2</v>
      </c>
      <c r="U738">
        <v>349.96</v>
      </c>
    </row>
    <row r="739" spans="1:21" x14ac:dyDescent="0.35">
      <c r="A739" t="s">
        <v>3622</v>
      </c>
      <c r="B739" s="2">
        <v>43521</v>
      </c>
      <c r="C739" s="2" t="str">
        <f t="shared" si="22"/>
        <v>February</v>
      </c>
      <c r="D739" s="2" t="str">
        <f t="shared" si="23"/>
        <v>2019</v>
      </c>
      <c r="E739" s="2" t="s">
        <v>6323</v>
      </c>
      <c r="F739" t="s">
        <v>62</v>
      </c>
      <c r="G739" t="s">
        <v>3623</v>
      </c>
      <c r="H739" t="s">
        <v>3624</v>
      </c>
      <c r="I739" t="s">
        <v>23</v>
      </c>
      <c r="J739" t="s">
        <v>24</v>
      </c>
      <c r="K739" t="s">
        <v>97</v>
      </c>
      <c r="L739" t="s">
        <v>82</v>
      </c>
      <c r="M739" t="s">
        <v>57</v>
      </c>
      <c r="N739" t="s">
        <v>3625</v>
      </c>
      <c r="O739" t="s">
        <v>67</v>
      </c>
      <c r="P739" t="s">
        <v>350</v>
      </c>
      <c r="Q739" t="s">
        <v>3626</v>
      </c>
      <c r="R739">
        <v>1990.91</v>
      </c>
      <c r="S739">
        <v>1</v>
      </c>
      <c r="T739">
        <v>0</v>
      </c>
      <c r="U739">
        <v>-244.75</v>
      </c>
    </row>
    <row r="740" spans="1:21" x14ac:dyDescent="0.35">
      <c r="A740" t="s">
        <v>3627</v>
      </c>
      <c r="B740" s="2">
        <v>43680</v>
      </c>
      <c r="C740" s="2" t="str">
        <f t="shared" si="22"/>
        <v>August</v>
      </c>
      <c r="D740" s="2" t="str">
        <f t="shared" si="23"/>
        <v>2019</v>
      </c>
      <c r="E740" s="2">
        <v>43593</v>
      </c>
      <c r="F740" t="s">
        <v>62</v>
      </c>
      <c r="G740" t="s">
        <v>3628</v>
      </c>
      <c r="H740" t="s">
        <v>3629</v>
      </c>
      <c r="I740" t="s">
        <v>23</v>
      </c>
      <c r="J740" t="s">
        <v>24</v>
      </c>
      <c r="K740" t="s">
        <v>81</v>
      </c>
      <c r="L740" t="s">
        <v>170</v>
      </c>
      <c r="M740" t="s">
        <v>27</v>
      </c>
      <c r="N740" t="s">
        <v>3630</v>
      </c>
      <c r="O740" t="s">
        <v>67</v>
      </c>
      <c r="P740" t="s">
        <v>117</v>
      </c>
      <c r="Q740" t="s">
        <v>3631</v>
      </c>
      <c r="R740">
        <v>274.33999999999997</v>
      </c>
      <c r="S740">
        <v>4</v>
      </c>
      <c r="T740">
        <v>0.2</v>
      </c>
      <c r="U740">
        <v>117.54</v>
      </c>
    </row>
    <row r="741" spans="1:21" x14ac:dyDescent="0.35">
      <c r="A741" t="s">
        <v>3632</v>
      </c>
      <c r="B741" s="2">
        <v>43811</v>
      </c>
      <c r="C741" s="2" t="str">
        <f t="shared" si="22"/>
        <v>December</v>
      </c>
      <c r="D741" s="2" t="str">
        <f t="shared" si="23"/>
        <v>2019</v>
      </c>
      <c r="E741" s="2" t="s">
        <v>6073</v>
      </c>
      <c r="F741" t="s">
        <v>62</v>
      </c>
      <c r="G741" t="s">
        <v>3633</v>
      </c>
      <c r="H741" t="s">
        <v>3634</v>
      </c>
      <c r="I741" t="s">
        <v>23</v>
      </c>
      <c r="J741" t="s">
        <v>24</v>
      </c>
      <c r="K741" t="s">
        <v>212</v>
      </c>
      <c r="L741" t="s">
        <v>37</v>
      </c>
      <c r="M741" t="s">
        <v>74</v>
      </c>
      <c r="N741" t="s">
        <v>3635</v>
      </c>
      <c r="O741" t="s">
        <v>67</v>
      </c>
      <c r="P741" t="s">
        <v>350</v>
      </c>
      <c r="Q741" t="s">
        <v>3617</v>
      </c>
      <c r="R741">
        <v>1245.9100000000001</v>
      </c>
      <c r="S741">
        <v>2</v>
      </c>
      <c r="T741">
        <v>0</v>
      </c>
      <c r="U741">
        <v>51.85</v>
      </c>
    </row>
    <row r="742" spans="1:21" x14ac:dyDescent="0.35">
      <c r="A742" t="s">
        <v>3636</v>
      </c>
      <c r="B742" s="2">
        <v>42994</v>
      </c>
      <c r="C742" s="2" t="str">
        <f t="shared" si="22"/>
        <v>September</v>
      </c>
      <c r="D742" s="2" t="str">
        <f t="shared" si="23"/>
        <v>2017</v>
      </c>
      <c r="E742" s="2" t="s">
        <v>6341</v>
      </c>
      <c r="F742" t="s">
        <v>52</v>
      </c>
      <c r="G742" t="s">
        <v>3637</v>
      </c>
      <c r="H742" t="s">
        <v>3638</v>
      </c>
      <c r="I742" t="s">
        <v>35</v>
      </c>
      <c r="J742" t="s">
        <v>24</v>
      </c>
      <c r="K742" t="s">
        <v>45</v>
      </c>
      <c r="L742" t="s">
        <v>115</v>
      </c>
      <c r="M742" t="s">
        <v>57</v>
      </c>
      <c r="N742" t="s">
        <v>3639</v>
      </c>
      <c r="O742" t="s">
        <v>48</v>
      </c>
      <c r="P742" t="s">
        <v>59</v>
      </c>
      <c r="Q742" t="s">
        <v>3640</v>
      </c>
      <c r="R742">
        <v>324.39</v>
      </c>
      <c r="S742">
        <v>3</v>
      </c>
      <c r="T742">
        <v>0.4</v>
      </c>
      <c r="U742">
        <v>9.25</v>
      </c>
    </row>
    <row r="743" spans="1:21" x14ac:dyDescent="0.35">
      <c r="A743" t="s">
        <v>3641</v>
      </c>
      <c r="B743" s="2">
        <v>43615</v>
      </c>
      <c r="C743" s="2" t="str">
        <f t="shared" si="22"/>
        <v>May</v>
      </c>
      <c r="D743" s="2" t="str">
        <f t="shared" si="23"/>
        <v>2019</v>
      </c>
      <c r="E743" s="2">
        <v>43591</v>
      </c>
      <c r="F743" t="s">
        <v>52</v>
      </c>
      <c r="G743" t="s">
        <v>3642</v>
      </c>
      <c r="H743" t="s">
        <v>3643</v>
      </c>
      <c r="I743" t="s">
        <v>55</v>
      </c>
      <c r="J743" t="s">
        <v>24</v>
      </c>
      <c r="K743" t="s">
        <v>73</v>
      </c>
      <c r="L743" t="s">
        <v>82</v>
      </c>
      <c r="M743" t="s">
        <v>83</v>
      </c>
      <c r="N743" t="s">
        <v>3644</v>
      </c>
      <c r="O743" t="s">
        <v>29</v>
      </c>
      <c r="P743" t="s">
        <v>30</v>
      </c>
      <c r="Q743" t="s">
        <v>3645</v>
      </c>
      <c r="R743">
        <v>1235.3</v>
      </c>
      <c r="S743">
        <v>8</v>
      </c>
      <c r="T743">
        <v>0.3</v>
      </c>
      <c r="U743">
        <v>225.49</v>
      </c>
    </row>
    <row r="744" spans="1:21" x14ac:dyDescent="0.35">
      <c r="A744" t="s">
        <v>3646</v>
      </c>
      <c r="B744" s="2">
        <v>43252</v>
      </c>
      <c r="C744" s="2" t="str">
        <f t="shared" si="22"/>
        <v>June</v>
      </c>
      <c r="D744" s="2" t="str">
        <f t="shared" si="23"/>
        <v>2018</v>
      </c>
      <c r="E744" s="2">
        <v>43196</v>
      </c>
      <c r="F744" t="s">
        <v>52</v>
      </c>
      <c r="G744" t="s">
        <v>3647</v>
      </c>
      <c r="H744" t="s">
        <v>3105</v>
      </c>
      <c r="I744" t="s">
        <v>55</v>
      </c>
      <c r="J744" t="s">
        <v>24</v>
      </c>
      <c r="K744" t="s">
        <v>81</v>
      </c>
      <c r="L744" t="s">
        <v>26</v>
      </c>
      <c r="M744" t="s">
        <v>74</v>
      </c>
      <c r="N744" t="s">
        <v>3648</v>
      </c>
      <c r="O744" t="s">
        <v>29</v>
      </c>
      <c r="P744" t="s">
        <v>30</v>
      </c>
      <c r="Q744" t="s">
        <v>3649</v>
      </c>
      <c r="R744">
        <v>871.06</v>
      </c>
      <c r="S744">
        <v>5</v>
      </c>
      <c r="T744">
        <v>0</v>
      </c>
      <c r="U744">
        <v>-24.92</v>
      </c>
    </row>
    <row r="745" spans="1:21" x14ac:dyDescent="0.35">
      <c r="A745" t="s">
        <v>3650</v>
      </c>
      <c r="B745" s="2">
        <v>43807</v>
      </c>
      <c r="C745" s="2" t="str">
        <f t="shared" si="22"/>
        <v>December</v>
      </c>
      <c r="D745" s="2" t="str">
        <f t="shared" si="23"/>
        <v>2019</v>
      </c>
      <c r="E745" s="2" t="s">
        <v>6161</v>
      </c>
      <c r="F745" t="s">
        <v>52</v>
      </c>
      <c r="G745" t="s">
        <v>3651</v>
      </c>
      <c r="H745" t="s">
        <v>3652</v>
      </c>
      <c r="I745" t="s">
        <v>35</v>
      </c>
      <c r="J745" t="s">
        <v>24</v>
      </c>
      <c r="K745" t="s">
        <v>133</v>
      </c>
      <c r="L745" t="s">
        <v>56</v>
      </c>
      <c r="M745" t="s">
        <v>27</v>
      </c>
      <c r="N745" t="s">
        <v>3653</v>
      </c>
      <c r="O745" t="s">
        <v>29</v>
      </c>
      <c r="P745" t="s">
        <v>30</v>
      </c>
      <c r="Q745" t="s">
        <v>3654</v>
      </c>
      <c r="R745">
        <v>1412.32</v>
      </c>
      <c r="S745">
        <v>8</v>
      </c>
      <c r="T745">
        <v>0</v>
      </c>
      <c r="U745">
        <v>228.31</v>
      </c>
    </row>
    <row r="746" spans="1:21" x14ac:dyDescent="0.35">
      <c r="A746" t="s">
        <v>3655</v>
      </c>
      <c r="B746" s="2">
        <v>42918</v>
      </c>
      <c r="C746" s="2" t="str">
        <f t="shared" si="22"/>
        <v>July</v>
      </c>
      <c r="D746" s="2" t="str">
        <f t="shared" si="23"/>
        <v>2017</v>
      </c>
      <c r="E746" s="2">
        <v>43076</v>
      </c>
      <c r="F746" t="s">
        <v>42</v>
      </c>
      <c r="G746" t="s">
        <v>3656</v>
      </c>
      <c r="H746" t="s">
        <v>2740</v>
      </c>
      <c r="I746" t="s">
        <v>23</v>
      </c>
      <c r="J746" t="s">
        <v>24</v>
      </c>
      <c r="K746" t="s">
        <v>97</v>
      </c>
      <c r="L746" t="s">
        <v>26</v>
      </c>
      <c r="M746" t="s">
        <v>27</v>
      </c>
      <c r="N746" t="s">
        <v>3657</v>
      </c>
      <c r="O746" t="s">
        <v>48</v>
      </c>
      <c r="P746" t="s">
        <v>128</v>
      </c>
      <c r="Q746" t="s">
        <v>3658</v>
      </c>
      <c r="R746">
        <v>13.03</v>
      </c>
      <c r="S746">
        <v>3</v>
      </c>
      <c r="T746">
        <v>0.3</v>
      </c>
      <c r="U746">
        <v>1.38</v>
      </c>
    </row>
    <row r="747" spans="1:21" x14ac:dyDescent="0.35">
      <c r="A747" t="s">
        <v>3659</v>
      </c>
      <c r="B747" s="2">
        <v>43057</v>
      </c>
      <c r="C747" s="2" t="str">
        <f t="shared" si="22"/>
        <v>November</v>
      </c>
      <c r="D747" s="2" t="str">
        <f t="shared" si="23"/>
        <v>2017</v>
      </c>
      <c r="E747" s="2" t="s">
        <v>6235</v>
      </c>
      <c r="F747" t="s">
        <v>62</v>
      </c>
      <c r="G747" t="s">
        <v>3660</v>
      </c>
      <c r="H747" t="s">
        <v>3661</v>
      </c>
      <c r="I747" t="s">
        <v>35</v>
      </c>
      <c r="J747" t="s">
        <v>24</v>
      </c>
      <c r="K747" t="s">
        <v>81</v>
      </c>
      <c r="L747" t="s">
        <v>37</v>
      </c>
      <c r="M747" t="s">
        <v>57</v>
      </c>
      <c r="N747" t="s">
        <v>3662</v>
      </c>
      <c r="O747" t="s">
        <v>67</v>
      </c>
      <c r="P747" t="s">
        <v>117</v>
      </c>
      <c r="Q747" t="s">
        <v>3663</v>
      </c>
      <c r="R747">
        <v>1562</v>
      </c>
      <c r="S747">
        <v>10</v>
      </c>
      <c r="T747">
        <v>0.4</v>
      </c>
      <c r="U747">
        <v>-43.75</v>
      </c>
    </row>
    <row r="748" spans="1:21" x14ac:dyDescent="0.35">
      <c r="A748" t="s">
        <v>3664</v>
      </c>
      <c r="B748" s="2">
        <v>42456</v>
      </c>
      <c r="C748" s="2" t="str">
        <f t="shared" si="22"/>
        <v>March</v>
      </c>
      <c r="D748" s="2" t="str">
        <f t="shared" si="23"/>
        <v>2016</v>
      </c>
      <c r="E748" s="2" t="s">
        <v>5998</v>
      </c>
      <c r="F748" t="s">
        <v>52</v>
      </c>
      <c r="G748" t="s">
        <v>3665</v>
      </c>
      <c r="H748" t="s">
        <v>2394</v>
      </c>
      <c r="I748" t="s">
        <v>23</v>
      </c>
      <c r="J748" t="s">
        <v>24</v>
      </c>
      <c r="K748" t="s">
        <v>36</v>
      </c>
      <c r="L748" t="s">
        <v>36</v>
      </c>
      <c r="M748" t="s">
        <v>57</v>
      </c>
      <c r="N748" t="s">
        <v>3666</v>
      </c>
      <c r="O748" t="s">
        <v>29</v>
      </c>
      <c r="P748" t="s">
        <v>39</v>
      </c>
      <c r="Q748" t="s">
        <v>3667</v>
      </c>
      <c r="R748">
        <v>1861.53</v>
      </c>
      <c r="S748">
        <v>9</v>
      </c>
      <c r="T748">
        <v>0.4</v>
      </c>
      <c r="U748">
        <v>788.24</v>
      </c>
    </row>
    <row r="749" spans="1:21" x14ac:dyDescent="0.35">
      <c r="A749" t="s">
        <v>3668</v>
      </c>
      <c r="B749" s="2">
        <v>42493</v>
      </c>
      <c r="C749" s="2" t="str">
        <f t="shared" si="22"/>
        <v>May</v>
      </c>
      <c r="D749" s="2" t="str">
        <f t="shared" si="23"/>
        <v>2016</v>
      </c>
      <c r="E749" s="2" t="s">
        <v>6342</v>
      </c>
      <c r="F749" t="s">
        <v>52</v>
      </c>
      <c r="G749" t="s">
        <v>3669</v>
      </c>
      <c r="H749" t="s">
        <v>3670</v>
      </c>
      <c r="I749" t="s">
        <v>55</v>
      </c>
      <c r="J749" t="s">
        <v>24</v>
      </c>
      <c r="K749" t="s">
        <v>36</v>
      </c>
      <c r="L749" t="s">
        <v>56</v>
      </c>
      <c r="M749" t="s">
        <v>83</v>
      </c>
      <c r="N749" t="s">
        <v>3671</v>
      </c>
      <c r="O749" t="s">
        <v>48</v>
      </c>
      <c r="P749" t="s">
        <v>76</v>
      </c>
      <c r="Q749" t="s">
        <v>3672</v>
      </c>
      <c r="R749">
        <v>887.81</v>
      </c>
      <c r="S749">
        <v>3</v>
      </c>
      <c r="T749">
        <v>0.3</v>
      </c>
      <c r="U749">
        <v>134.29</v>
      </c>
    </row>
    <row r="750" spans="1:21" x14ac:dyDescent="0.35">
      <c r="A750" t="s">
        <v>3673</v>
      </c>
      <c r="B750" s="2">
        <v>43401</v>
      </c>
      <c r="C750" s="2" t="str">
        <f t="shared" si="22"/>
        <v>October</v>
      </c>
      <c r="D750" s="2" t="str">
        <f t="shared" si="23"/>
        <v>2018</v>
      </c>
      <c r="E750" s="2" t="s">
        <v>5967</v>
      </c>
      <c r="F750" t="s">
        <v>62</v>
      </c>
      <c r="G750" t="s">
        <v>3674</v>
      </c>
      <c r="H750" t="s">
        <v>3675</v>
      </c>
      <c r="I750" t="s">
        <v>23</v>
      </c>
      <c r="J750" t="s">
        <v>24</v>
      </c>
      <c r="K750" t="s">
        <v>212</v>
      </c>
      <c r="L750" t="s">
        <v>90</v>
      </c>
      <c r="M750" t="s">
        <v>27</v>
      </c>
      <c r="N750" t="s">
        <v>3676</v>
      </c>
      <c r="O750" t="s">
        <v>67</v>
      </c>
      <c r="P750" t="s">
        <v>229</v>
      </c>
      <c r="Q750" t="s">
        <v>1899</v>
      </c>
      <c r="R750">
        <v>1383.59</v>
      </c>
      <c r="S750">
        <v>7</v>
      </c>
      <c r="T750">
        <v>0</v>
      </c>
      <c r="U750">
        <v>477.87</v>
      </c>
    </row>
    <row r="751" spans="1:21" x14ac:dyDescent="0.35">
      <c r="A751" t="s">
        <v>3677</v>
      </c>
      <c r="B751" s="2">
        <v>43270</v>
      </c>
      <c r="C751" s="2" t="str">
        <f t="shared" si="22"/>
        <v>June</v>
      </c>
      <c r="D751" s="2" t="str">
        <f t="shared" si="23"/>
        <v>2018</v>
      </c>
      <c r="E751" s="2" t="s">
        <v>6151</v>
      </c>
      <c r="F751" t="s">
        <v>62</v>
      </c>
      <c r="G751" t="s">
        <v>3678</v>
      </c>
      <c r="H751" t="s">
        <v>2581</v>
      </c>
      <c r="I751" t="s">
        <v>23</v>
      </c>
      <c r="J751" t="s">
        <v>24</v>
      </c>
      <c r="K751" t="s">
        <v>81</v>
      </c>
      <c r="L751" t="s">
        <v>37</v>
      </c>
      <c r="M751" t="s">
        <v>27</v>
      </c>
      <c r="N751" t="s">
        <v>3679</v>
      </c>
      <c r="O751" t="s">
        <v>67</v>
      </c>
      <c r="P751" t="s">
        <v>229</v>
      </c>
      <c r="Q751" t="s">
        <v>3680</v>
      </c>
      <c r="R751">
        <v>68.14</v>
      </c>
      <c r="S751">
        <v>9</v>
      </c>
      <c r="T751">
        <v>0.4</v>
      </c>
      <c r="U751">
        <v>22.59</v>
      </c>
    </row>
    <row r="752" spans="1:21" x14ac:dyDescent="0.35">
      <c r="A752" t="s">
        <v>3681</v>
      </c>
      <c r="B752" s="2">
        <v>42581</v>
      </c>
      <c r="C752" s="2" t="str">
        <f t="shared" si="22"/>
        <v>July</v>
      </c>
      <c r="D752" s="2" t="str">
        <f t="shared" si="23"/>
        <v>2016</v>
      </c>
      <c r="E752" s="2">
        <v>42408</v>
      </c>
      <c r="F752" t="s">
        <v>42</v>
      </c>
      <c r="G752" t="s">
        <v>3682</v>
      </c>
      <c r="H752" t="s">
        <v>3683</v>
      </c>
      <c r="I752" t="s">
        <v>35</v>
      </c>
      <c r="J752" t="s">
        <v>24</v>
      </c>
      <c r="K752" t="s">
        <v>212</v>
      </c>
      <c r="L752" t="s">
        <v>37</v>
      </c>
      <c r="M752" t="s">
        <v>83</v>
      </c>
      <c r="N752" t="s">
        <v>3684</v>
      </c>
      <c r="O752" t="s">
        <v>48</v>
      </c>
      <c r="P752" t="s">
        <v>59</v>
      </c>
      <c r="Q752" t="s">
        <v>3685</v>
      </c>
      <c r="R752">
        <v>1708.92</v>
      </c>
      <c r="S752">
        <v>3</v>
      </c>
      <c r="T752">
        <v>0.4</v>
      </c>
      <c r="U752">
        <v>-280.68</v>
      </c>
    </row>
    <row r="753" spans="1:21" x14ac:dyDescent="0.35">
      <c r="A753" t="s">
        <v>3686</v>
      </c>
      <c r="B753" s="2">
        <v>42950</v>
      </c>
      <c r="C753" s="2" t="str">
        <f t="shared" si="22"/>
        <v>August</v>
      </c>
      <c r="D753" s="2" t="str">
        <f t="shared" si="23"/>
        <v>2017</v>
      </c>
      <c r="E753" s="2">
        <v>42894</v>
      </c>
      <c r="F753" t="s">
        <v>62</v>
      </c>
      <c r="G753" t="s">
        <v>3687</v>
      </c>
      <c r="H753" t="s">
        <v>3688</v>
      </c>
      <c r="I753" t="s">
        <v>55</v>
      </c>
      <c r="J753" t="s">
        <v>24</v>
      </c>
      <c r="K753" t="s">
        <v>103</v>
      </c>
      <c r="L753" t="s">
        <v>46</v>
      </c>
      <c r="M753" t="s">
        <v>57</v>
      </c>
      <c r="N753" t="s">
        <v>3689</v>
      </c>
      <c r="O753" t="s">
        <v>48</v>
      </c>
      <c r="P753" t="s">
        <v>59</v>
      </c>
      <c r="Q753" t="s">
        <v>3690</v>
      </c>
      <c r="R753">
        <v>1675.24</v>
      </c>
      <c r="S753">
        <v>8</v>
      </c>
      <c r="T753">
        <v>0</v>
      </c>
      <c r="U753">
        <v>-314.3</v>
      </c>
    </row>
    <row r="754" spans="1:21" x14ac:dyDescent="0.35">
      <c r="A754" t="s">
        <v>3691</v>
      </c>
      <c r="B754" s="2">
        <v>42664</v>
      </c>
      <c r="C754" s="2" t="str">
        <f t="shared" si="22"/>
        <v>October</v>
      </c>
      <c r="D754" s="2" t="str">
        <f t="shared" si="23"/>
        <v>2016</v>
      </c>
      <c r="E754" s="2" t="s">
        <v>6290</v>
      </c>
      <c r="F754" t="s">
        <v>62</v>
      </c>
      <c r="G754" t="s">
        <v>3692</v>
      </c>
      <c r="H754" t="s">
        <v>1028</v>
      </c>
      <c r="I754" t="s">
        <v>55</v>
      </c>
      <c r="J754" t="s">
        <v>24</v>
      </c>
      <c r="K754" t="s">
        <v>97</v>
      </c>
      <c r="L754" t="s">
        <v>56</v>
      </c>
      <c r="M754" t="s">
        <v>83</v>
      </c>
      <c r="N754" t="s">
        <v>3693</v>
      </c>
      <c r="O754" t="s">
        <v>29</v>
      </c>
      <c r="P754" t="s">
        <v>110</v>
      </c>
      <c r="Q754" t="s">
        <v>3694</v>
      </c>
      <c r="R754">
        <v>1213.1500000000001</v>
      </c>
      <c r="S754">
        <v>9</v>
      </c>
      <c r="T754">
        <v>0</v>
      </c>
      <c r="U754">
        <v>290.69</v>
      </c>
    </row>
    <row r="755" spans="1:21" x14ac:dyDescent="0.35">
      <c r="A755" t="s">
        <v>3695</v>
      </c>
      <c r="B755" s="2">
        <v>43505</v>
      </c>
      <c r="C755" s="2" t="str">
        <f t="shared" si="22"/>
        <v>February</v>
      </c>
      <c r="D755" s="2" t="str">
        <f t="shared" si="23"/>
        <v>2019</v>
      </c>
      <c r="E755" s="2">
        <v>43771</v>
      </c>
      <c r="F755" t="s">
        <v>42</v>
      </c>
      <c r="G755" t="s">
        <v>3696</v>
      </c>
      <c r="H755" t="s">
        <v>3697</v>
      </c>
      <c r="I755" t="s">
        <v>55</v>
      </c>
      <c r="J755" t="s">
        <v>24</v>
      </c>
      <c r="K755" t="s">
        <v>45</v>
      </c>
      <c r="L755" t="s">
        <v>115</v>
      </c>
      <c r="M755" t="s">
        <v>27</v>
      </c>
      <c r="N755" t="s">
        <v>3698</v>
      </c>
      <c r="O755" t="s">
        <v>29</v>
      </c>
      <c r="P755" t="s">
        <v>155</v>
      </c>
      <c r="Q755" t="s">
        <v>3699</v>
      </c>
      <c r="R755">
        <v>39.869999999999997</v>
      </c>
      <c r="S755">
        <v>4</v>
      </c>
      <c r="T755">
        <v>0.1</v>
      </c>
      <c r="U755">
        <v>-11.7</v>
      </c>
    </row>
    <row r="756" spans="1:21" x14ac:dyDescent="0.35">
      <c r="A756" t="s">
        <v>3700</v>
      </c>
      <c r="B756" s="2">
        <v>42632</v>
      </c>
      <c r="C756" s="2" t="str">
        <f t="shared" si="22"/>
        <v>September</v>
      </c>
      <c r="D756" s="2" t="str">
        <f t="shared" si="23"/>
        <v>2016</v>
      </c>
      <c r="E756" s="2" t="s">
        <v>6343</v>
      </c>
      <c r="F756" t="s">
        <v>62</v>
      </c>
      <c r="G756" t="s">
        <v>3701</v>
      </c>
      <c r="H756" t="s">
        <v>3702</v>
      </c>
      <c r="I756" t="s">
        <v>55</v>
      </c>
      <c r="J756" t="s">
        <v>24</v>
      </c>
      <c r="K756" t="s">
        <v>73</v>
      </c>
      <c r="L756" t="s">
        <v>90</v>
      </c>
      <c r="M756" t="s">
        <v>27</v>
      </c>
      <c r="N756" t="s">
        <v>3703</v>
      </c>
      <c r="O756" t="s">
        <v>48</v>
      </c>
      <c r="P756" t="s">
        <v>128</v>
      </c>
      <c r="Q756" t="s">
        <v>2886</v>
      </c>
      <c r="R756">
        <v>1115.81</v>
      </c>
      <c r="S756">
        <v>8</v>
      </c>
      <c r="T756">
        <v>0.1</v>
      </c>
      <c r="U756">
        <v>26.3</v>
      </c>
    </row>
    <row r="757" spans="1:21" x14ac:dyDescent="0.35">
      <c r="A757" t="s">
        <v>3704</v>
      </c>
      <c r="B757" s="2">
        <v>42502</v>
      </c>
      <c r="C757" s="2" t="str">
        <f t="shared" si="22"/>
        <v>May</v>
      </c>
      <c r="D757" s="2" t="str">
        <f t="shared" si="23"/>
        <v>2016</v>
      </c>
      <c r="E757" s="2" t="s">
        <v>6228</v>
      </c>
      <c r="F757" t="s">
        <v>42</v>
      </c>
      <c r="G757" t="s">
        <v>3705</v>
      </c>
      <c r="H757" t="s">
        <v>3706</v>
      </c>
      <c r="I757" t="s">
        <v>23</v>
      </c>
      <c r="J757" t="s">
        <v>24</v>
      </c>
      <c r="K757" t="s">
        <v>97</v>
      </c>
      <c r="L757" t="s">
        <v>36</v>
      </c>
      <c r="M757" t="s">
        <v>27</v>
      </c>
      <c r="N757" t="s">
        <v>3707</v>
      </c>
      <c r="O757" t="s">
        <v>67</v>
      </c>
      <c r="P757" t="s">
        <v>68</v>
      </c>
      <c r="Q757" t="s">
        <v>3588</v>
      </c>
      <c r="R757">
        <v>1240.3800000000001</v>
      </c>
      <c r="S757">
        <v>9</v>
      </c>
      <c r="T757">
        <v>0</v>
      </c>
      <c r="U757">
        <v>-202.82</v>
      </c>
    </row>
    <row r="758" spans="1:21" x14ac:dyDescent="0.35">
      <c r="A758" t="s">
        <v>3708</v>
      </c>
      <c r="B758" s="2">
        <v>42419</v>
      </c>
      <c r="C758" s="2" t="str">
        <f t="shared" si="22"/>
        <v>February</v>
      </c>
      <c r="D758" s="2" t="str">
        <f t="shared" si="23"/>
        <v>2016</v>
      </c>
      <c r="E758" s="2" t="s">
        <v>5994</v>
      </c>
      <c r="F758" t="s">
        <v>52</v>
      </c>
      <c r="G758" t="s">
        <v>3709</v>
      </c>
      <c r="H758" t="s">
        <v>3710</v>
      </c>
      <c r="I758" t="s">
        <v>35</v>
      </c>
      <c r="J758" t="s">
        <v>24</v>
      </c>
      <c r="K758" t="s">
        <v>45</v>
      </c>
      <c r="L758" t="s">
        <v>90</v>
      </c>
      <c r="M758" t="s">
        <v>83</v>
      </c>
      <c r="N758" t="s">
        <v>3711</v>
      </c>
      <c r="O758" t="s">
        <v>67</v>
      </c>
      <c r="P758" t="s">
        <v>350</v>
      </c>
      <c r="Q758" t="s">
        <v>3712</v>
      </c>
      <c r="R758">
        <v>751.82</v>
      </c>
      <c r="S758">
        <v>6</v>
      </c>
      <c r="T758">
        <v>0.4</v>
      </c>
      <c r="U758">
        <v>331.29</v>
      </c>
    </row>
    <row r="759" spans="1:21" x14ac:dyDescent="0.35">
      <c r="A759" t="s">
        <v>3713</v>
      </c>
      <c r="B759" s="2">
        <v>42695</v>
      </c>
      <c r="C759" s="2" t="str">
        <f t="shared" si="22"/>
        <v>November</v>
      </c>
      <c r="D759" s="2" t="str">
        <f t="shared" si="23"/>
        <v>2016</v>
      </c>
      <c r="E759" s="2" t="s">
        <v>6054</v>
      </c>
      <c r="F759" t="s">
        <v>42</v>
      </c>
      <c r="G759" t="s">
        <v>3714</v>
      </c>
      <c r="H759" t="s">
        <v>3629</v>
      </c>
      <c r="I759" t="s">
        <v>35</v>
      </c>
      <c r="J759" t="s">
        <v>24</v>
      </c>
      <c r="K759" t="s">
        <v>97</v>
      </c>
      <c r="L759" t="s">
        <v>65</v>
      </c>
      <c r="M759" t="s">
        <v>83</v>
      </c>
      <c r="N759" t="s">
        <v>3715</v>
      </c>
      <c r="O759" t="s">
        <v>67</v>
      </c>
      <c r="P759" t="s">
        <v>68</v>
      </c>
      <c r="Q759" t="s">
        <v>3716</v>
      </c>
      <c r="R759">
        <v>560.53</v>
      </c>
      <c r="S759">
        <v>4</v>
      </c>
      <c r="T759">
        <v>0</v>
      </c>
      <c r="U759">
        <v>139.41999999999999</v>
      </c>
    </row>
    <row r="760" spans="1:21" x14ac:dyDescent="0.35">
      <c r="A760" t="s">
        <v>3717</v>
      </c>
      <c r="B760" s="2">
        <v>42715</v>
      </c>
      <c r="C760" s="2" t="str">
        <f t="shared" si="22"/>
        <v>December</v>
      </c>
      <c r="D760" s="2" t="str">
        <f t="shared" si="23"/>
        <v>2016</v>
      </c>
      <c r="E760" s="2" t="s">
        <v>6176</v>
      </c>
      <c r="F760" t="s">
        <v>62</v>
      </c>
      <c r="G760" t="s">
        <v>3718</v>
      </c>
      <c r="H760" t="s">
        <v>3719</v>
      </c>
      <c r="I760" t="s">
        <v>55</v>
      </c>
      <c r="J760" t="s">
        <v>24</v>
      </c>
      <c r="K760" t="s">
        <v>97</v>
      </c>
      <c r="L760" t="s">
        <v>46</v>
      </c>
      <c r="M760" t="s">
        <v>27</v>
      </c>
      <c r="N760" t="s">
        <v>3720</v>
      </c>
      <c r="O760" t="s">
        <v>29</v>
      </c>
      <c r="P760" t="s">
        <v>30</v>
      </c>
      <c r="Q760" t="s">
        <v>3654</v>
      </c>
      <c r="R760">
        <v>299.98</v>
      </c>
      <c r="S760">
        <v>10</v>
      </c>
      <c r="T760">
        <v>0</v>
      </c>
      <c r="U760">
        <v>71.33</v>
      </c>
    </row>
    <row r="761" spans="1:21" x14ac:dyDescent="0.35">
      <c r="A761" t="s">
        <v>3721</v>
      </c>
      <c r="B761" s="2">
        <v>42849</v>
      </c>
      <c r="C761" s="2" t="str">
        <f t="shared" si="22"/>
        <v>April</v>
      </c>
      <c r="D761" s="2" t="str">
        <f t="shared" si="23"/>
        <v>2017</v>
      </c>
      <c r="E761" s="2">
        <v>42771</v>
      </c>
      <c r="F761" t="s">
        <v>20</v>
      </c>
      <c r="G761" t="s">
        <v>3722</v>
      </c>
      <c r="H761" t="s">
        <v>3723</v>
      </c>
      <c r="I761" t="s">
        <v>23</v>
      </c>
      <c r="J761" t="s">
        <v>24</v>
      </c>
      <c r="K761" t="s">
        <v>36</v>
      </c>
      <c r="L761" t="s">
        <v>90</v>
      </c>
      <c r="M761" t="s">
        <v>27</v>
      </c>
      <c r="N761" t="s">
        <v>3724</v>
      </c>
      <c r="O761" t="s">
        <v>67</v>
      </c>
      <c r="P761" t="s">
        <v>197</v>
      </c>
      <c r="Q761" t="s">
        <v>3725</v>
      </c>
      <c r="R761">
        <v>315.2</v>
      </c>
      <c r="S761">
        <v>10</v>
      </c>
      <c r="T761">
        <v>0.3</v>
      </c>
      <c r="U761">
        <v>51.48</v>
      </c>
    </row>
    <row r="762" spans="1:21" x14ac:dyDescent="0.35">
      <c r="A762" t="s">
        <v>3726</v>
      </c>
      <c r="B762" s="2">
        <v>42486</v>
      </c>
      <c r="C762" s="2" t="str">
        <f t="shared" si="22"/>
        <v>April</v>
      </c>
      <c r="D762" s="2" t="str">
        <f t="shared" si="23"/>
        <v>2016</v>
      </c>
      <c r="E762" s="2">
        <v>42405</v>
      </c>
      <c r="F762" t="s">
        <v>62</v>
      </c>
      <c r="G762" t="s">
        <v>3727</v>
      </c>
      <c r="H762" t="s">
        <v>3728</v>
      </c>
      <c r="I762" t="s">
        <v>55</v>
      </c>
      <c r="J762" t="s">
        <v>24</v>
      </c>
      <c r="K762" t="s">
        <v>133</v>
      </c>
      <c r="L762" t="s">
        <v>115</v>
      </c>
      <c r="M762" t="s">
        <v>57</v>
      </c>
      <c r="N762" t="s">
        <v>3729</v>
      </c>
      <c r="O762" t="s">
        <v>67</v>
      </c>
      <c r="P762" t="s">
        <v>197</v>
      </c>
      <c r="Q762" t="s">
        <v>3730</v>
      </c>
      <c r="R762">
        <v>178.92</v>
      </c>
      <c r="S762">
        <v>6</v>
      </c>
      <c r="T762">
        <v>0.1</v>
      </c>
      <c r="U762">
        <v>68.819999999999993</v>
      </c>
    </row>
    <row r="763" spans="1:21" x14ac:dyDescent="0.35">
      <c r="A763" t="s">
        <v>3731</v>
      </c>
      <c r="B763" s="2">
        <v>43167</v>
      </c>
      <c r="C763" s="2" t="str">
        <f t="shared" si="22"/>
        <v>March</v>
      </c>
      <c r="D763" s="2" t="str">
        <f t="shared" si="23"/>
        <v>2018</v>
      </c>
      <c r="E763" s="2">
        <v>43346</v>
      </c>
      <c r="F763" t="s">
        <v>62</v>
      </c>
      <c r="G763" t="s">
        <v>3732</v>
      </c>
      <c r="H763" t="s">
        <v>3733</v>
      </c>
      <c r="I763" t="s">
        <v>23</v>
      </c>
      <c r="J763" t="s">
        <v>24</v>
      </c>
      <c r="K763" t="s">
        <v>133</v>
      </c>
      <c r="L763" t="s">
        <v>65</v>
      </c>
      <c r="M763" t="s">
        <v>27</v>
      </c>
      <c r="N763" t="s">
        <v>3734</v>
      </c>
      <c r="O763" t="s">
        <v>67</v>
      </c>
      <c r="P763" t="s">
        <v>350</v>
      </c>
      <c r="Q763" t="s">
        <v>3735</v>
      </c>
      <c r="R763">
        <v>393.34</v>
      </c>
      <c r="S763">
        <v>2</v>
      </c>
      <c r="T763">
        <v>0.1</v>
      </c>
      <c r="U763">
        <v>-59.35</v>
      </c>
    </row>
    <row r="764" spans="1:21" x14ac:dyDescent="0.35">
      <c r="A764" t="s">
        <v>3736</v>
      </c>
      <c r="B764" s="2">
        <v>43127</v>
      </c>
      <c r="C764" s="2" t="str">
        <f t="shared" si="22"/>
        <v>January</v>
      </c>
      <c r="D764" s="2" t="str">
        <f t="shared" si="23"/>
        <v>2018</v>
      </c>
      <c r="E764" s="2">
        <v>43102</v>
      </c>
      <c r="F764" t="s">
        <v>20</v>
      </c>
      <c r="G764" t="s">
        <v>3737</v>
      </c>
      <c r="H764" t="s">
        <v>3738</v>
      </c>
      <c r="I764" t="s">
        <v>35</v>
      </c>
      <c r="J764" t="s">
        <v>24</v>
      </c>
      <c r="K764" t="s">
        <v>103</v>
      </c>
      <c r="L764" t="s">
        <v>46</v>
      </c>
      <c r="M764" t="s">
        <v>83</v>
      </c>
      <c r="N764" t="s">
        <v>3739</v>
      </c>
      <c r="O764" t="s">
        <v>67</v>
      </c>
      <c r="P764" t="s">
        <v>229</v>
      </c>
      <c r="Q764" t="s">
        <v>3740</v>
      </c>
      <c r="R764">
        <v>610.91999999999996</v>
      </c>
      <c r="S764">
        <v>1</v>
      </c>
      <c r="T764">
        <v>0.4</v>
      </c>
      <c r="U764">
        <v>232.96</v>
      </c>
    </row>
    <row r="765" spans="1:21" x14ac:dyDescent="0.35">
      <c r="A765" t="s">
        <v>3741</v>
      </c>
      <c r="B765" s="2">
        <v>43433</v>
      </c>
      <c r="C765" s="2" t="str">
        <f t="shared" si="22"/>
        <v>November</v>
      </c>
      <c r="D765" s="2" t="str">
        <f t="shared" si="23"/>
        <v>2018</v>
      </c>
      <c r="E765" s="2">
        <v>43112</v>
      </c>
      <c r="F765" t="s">
        <v>20</v>
      </c>
      <c r="G765" t="s">
        <v>3742</v>
      </c>
      <c r="H765" t="s">
        <v>190</v>
      </c>
      <c r="I765" t="s">
        <v>23</v>
      </c>
      <c r="J765" t="s">
        <v>24</v>
      </c>
      <c r="K765" t="s">
        <v>25</v>
      </c>
      <c r="L765" t="s">
        <v>65</v>
      </c>
      <c r="M765" t="s">
        <v>74</v>
      </c>
      <c r="N765" t="s">
        <v>3743</v>
      </c>
      <c r="O765" t="s">
        <v>29</v>
      </c>
      <c r="P765" t="s">
        <v>155</v>
      </c>
      <c r="Q765" t="s">
        <v>3744</v>
      </c>
      <c r="R765">
        <v>1849.23</v>
      </c>
      <c r="S765">
        <v>8</v>
      </c>
      <c r="T765">
        <v>0.1</v>
      </c>
      <c r="U765">
        <v>841.71</v>
      </c>
    </row>
    <row r="766" spans="1:21" x14ac:dyDescent="0.35">
      <c r="A766" t="s">
        <v>3745</v>
      </c>
      <c r="B766" s="2">
        <v>43011</v>
      </c>
      <c r="C766" s="2" t="str">
        <f t="shared" si="22"/>
        <v>October</v>
      </c>
      <c r="D766" s="2" t="str">
        <f t="shared" si="23"/>
        <v>2017</v>
      </c>
      <c r="E766" s="2">
        <v>42835</v>
      </c>
      <c r="F766" t="s">
        <v>62</v>
      </c>
      <c r="G766" t="s">
        <v>3746</v>
      </c>
      <c r="H766" t="s">
        <v>3747</v>
      </c>
      <c r="I766" t="s">
        <v>23</v>
      </c>
      <c r="J766" t="s">
        <v>24</v>
      </c>
      <c r="K766" t="s">
        <v>103</v>
      </c>
      <c r="L766" t="s">
        <v>26</v>
      </c>
      <c r="M766" t="s">
        <v>74</v>
      </c>
      <c r="N766" t="s">
        <v>3748</v>
      </c>
      <c r="O766" t="s">
        <v>29</v>
      </c>
      <c r="P766" t="s">
        <v>155</v>
      </c>
      <c r="Q766" t="s">
        <v>3749</v>
      </c>
      <c r="R766">
        <v>745.41</v>
      </c>
      <c r="S766">
        <v>10</v>
      </c>
      <c r="T766">
        <v>0</v>
      </c>
      <c r="U766">
        <v>-50.09</v>
      </c>
    </row>
    <row r="767" spans="1:21" x14ac:dyDescent="0.35">
      <c r="A767" t="s">
        <v>3750</v>
      </c>
      <c r="B767" s="2">
        <v>43391</v>
      </c>
      <c r="C767" s="2" t="str">
        <f t="shared" si="22"/>
        <v>October</v>
      </c>
      <c r="D767" s="2" t="str">
        <f t="shared" si="23"/>
        <v>2018</v>
      </c>
      <c r="E767" s="2" t="s">
        <v>5927</v>
      </c>
      <c r="F767" t="s">
        <v>62</v>
      </c>
      <c r="G767" t="s">
        <v>3751</v>
      </c>
      <c r="H767" t="s">
        <v>3752</v>
      </c>
      <c r="I767" t="s">
        <v>35</v>
      </c>
      <c r="J767" t="s">
        <v>24</v>
      </c>
      <c r="K767" t="s">
        <v>45</v>
      </c>
      <c r="L767" t="s">
        <v>46</v>
      </c>
      <c r="M767" t="s">
        <v>27</v>
      </c>
      <c r="N767" t="s">
        <v>3753</v>
      </c>
      <c r="O767" t="s">
        <v>48</v>
      </c>
      <c r="P767" t="s">
        <v>128</v>
      </c>
      <c r="Q767" t="s">
        <v>3754</v>
      </c>
      <c r="R767">
        <v>1766.42</v>
      </c>
      <c r="S767">
        <v>9</v>
      </c>
      <c r="T767">
        <v>0.2</v>
      </c>
      <c r="U767">
        <v>-425.26</v>
      </c>
    </row>
    <row r="768" spans="1:21" x14ac:dyDescent="0.35">
      <c r="A768" t="s">
        <v>3755</v>
      </c>
      <c r="B768" s="2">
        <v>42831</v>
      </c>
      <c r="C768" s="2" t="str">
        <f t="shared" si="22"/>
        <v>April</v>
      </c>
      <c r="D768" s="2" t="str">
        <f t="shared" si="23"/>
        <v>2017</v>
      </c>
      <c r="E768" s="2" t="s">
        <v>6061</v>
      </c>
      <c r="F768" t="s">
        <v>42</v>
      </c>
      <c r="G768" t="s">
        <v>3756</v>
      </c>
      <c r="H768" t="s">
        <v>3757</v>
      </c>
      <c r="I768" t="s">
        <v>55</v>
      </c>
      <c r="J768" t="s">
        <v>24</v>
      </c>
      <c r="K768" t="s">
        <v>89</v>
      </c>
      <c r="L768" t="s">
        <v>37</v>
      </c>
      <c r="M768" t="s">
        <v>83</v>
      </c>
      <c r="N768" t="s">
        <v>3758</v>
      </c>
      <c r="O768" t="s">
        <v>67</v>
      </c>
      <c r="P768" t="s">
        <v>350</v>
      </c>
      <c r="Q768" t="s">
        <v>3759</v>
      </c>
      <c r="R768">
        <v>1486.16</v>
      </c>
      <c r="S768">
        <v>1</v>
      </c>
      <c r="T768">
        <v>0.4</v>
      </c>
      <c r="U768">
        <v>264.01</v>
      </c>
    </row>
    <row r="769" spans="1:21" x14ac:dyDescent="0.35">
      <c r="A769" t="s">
        <v>3760</v>
      </c>
      <c r="B769" s="2">
        <v>42457</v>
      </c>
      <c r="C769" s="2" t="str">
        <f t="shared" si="22"/>
        <v>March</v>
      </c>
      <c r="D769" s="2" t="str">
        <f t="shared" si="23"/>
        <v>2016</v>
      </c>
      <c r="E769" s="2">
        <v>42525</v>
      </c>
      <c r="F769" t="s">
        <v>62</v>
      </c>
      <c r="G769" t="s">
        <v>3761</v>
      </c>
      <c r="H769" t="s">
        <v>3762</v>
      </c>
      <c r="I769" t="s">
        <v>23</v>
      </c>
      <c r="J769" t="s">
        <v>24</v>
      </c>
      <c r="K769" t="s">
        <v>45</v>
      </c>
      <c r="L769" t="s">
        <v>115</v>
      </c>
      <c r="M769" t="s">
        <v>57</v>
      </c>
      <c r="N769" t="s">
        <v>3763</v>
      </c>
      <c r="O769" t="s">
        <v>67</v>
      </c>
      <c r="P769" t="s">
        <v>68</v>
      </c>
      <c r="Q769" t="s">
        <v>3764</v>
      </c>
      <c r="R769">
        <v>887.85</v>
      </c>
      <c r="S769">
        <v>3</v>
      </c>
      <c r="T769">
        <v>0</v>
      </c>
      <c r="U769">
        <v>31.81</v>
      </c>
    </row>
    <row r="770" spans="1:21" x14ac:dyDescent="0.35">
      <c r="A770" t="s">
        <v>3765</v>
      </c>
      <c r="B770" s="2">
        <v>42426</v>
      </c>
      <c r="C770" s="2" t="str">
        <f t="shared" si="22"/>
        <v>February</v>
      </c>
      <c r="D770" s="2" t="str">
        <f t="shared" si="23"/>
        <v>2016</v>
      </c>
      <c r="E770" s="2">
        <v>42493</v>
      </c>
      <c r="F770" t="s">
        <v>20</v>
      </c>
      <c r="G770" t="s">
        <v>3766</v>
      </c>
      <c r="H770" t="s">
        <v>3164</v>
      </c>
      <c r="I770" t="s">
        <v>35</v>
      </c>
      <c r="J770" t="s">
        <v>24</v>
      </c>
      <c r="K770" t="s">
        <v>73</v>
      </c>
      <c r="L770" t="s">
        <v>37</v>
      </c>
      <c r="M770" t="s">
        <v>74</v>
      </c>
      <c r="N770" t="s">
        <v>3767</v>
      </c>
      <c r="O770" t="s">
        <v>29</v>
      </c>
      <c r="P770" t="s">
        <v>30</v>
      </c>
      <c r="Q770" t="s">
        <v>3768</v>
      </c>
      <c r="R770">
        <v>1785.6</v>
      </c>
      <c r="S770">
        <v>3</v>
      </c>
      <c r="T770">
        <v>0.4</v>
      </c>
      <c r="U770">
        <v>118.61</v>
      </c>
    </row>
    <row r="771" spans="1:21" x14ac:dyDescent="0.35">
      <c r="A771" t="s">
        <v>3769</v>
      </c>
      <c r="B771" s="2">
        <v>43529</v>
      </c>
      <c r="C771" s="2" t="str">
        <f t="shared" ref="C771:C834" si="24">TEXT(B771,"mmmm")</f>
        <v>March</v>
      </c>
      <c r="D771" s="2" t="str">
        <f t="shared" ref="D771:D834" si="25">TEXT(B771,"yyyy")</f>
        <v>2019</v>
      </c>
      <c r="E771" s="2">
        <v>43802</v>
      </c>
      <c r="F771" t="s">
        <v>42</v>
      </c>
      <c r="G771" t="s">
        <v>3770</v>
      </c>
      <c r="H771" t="s">
        <v>3771</v>
      </c>
      <c r="I771" t="s">
        <v>35</v>
      </c>
      <c r="J771" t="s">
        <v>24</v>
      </c>
      <c r="K771" t="s">
        <v>133</v>
      </c>
      <c r="L771" t="s">
        <v>170</v>
      </c>
      <c r="M771" t="s">
        <v>74</v>
      </c>
      <c r="N771" t="s">
        <v>3772</v>
      </c>
      <c r="O771" t="s">
        <v>67</v>
      </c>
      <c r="P771" t="s">
        <v>229</v>
      </c>
      <c r="Q771" t="s">
        <v>3773</v>
      </c>
      <c r="R771">
        <v>1362.6</v>
      </c>
      <c r="S771">
        <v>7</v>
      </c>
      <c r="T771">
        <v>0.2</v>
      </c>
      <c r="U771">
        <v>665.13</v>
      </c>
    </row>
    <row r="772" spans="1:21" x14ac:dyDescent="0.35">
      <c r="A772" t="s">
        <v>3774</v>
      </c>
      <c r="B772" s="2">
        <v>42794</v>
      </c>
      <c r="C772" s="2" t="str">
        <f t="shared" si="24"/>
        <v>February</v>
      </c>
      <c r="D772" s="2" t="str">
        <f t="shared" si="25"/>
        <v>2017</v>
      </c>
      <c r="E772" s="2">
        <v>42858</v>
      </c>
      <c r="F772" t="s">
        <v>20</v>
      </c>
      <c r="G772" t="s">
        <v>3775</v>
      </c>
      <c r="H772" t="s">
        <v>3776</v>
      </c>
      <c r="I772" t="s">
        <v>23</v>
      </c>
      <c r="J772" t="s">
        <v>24</v>
      </c>
      <c r="K772" t="s">
        <v>89</v>
      </c>
      <c r="L772" t="s">
        <v>65</v>
      </c>
      <c r="M772" t="s">
        <v>83</v>
      </c>
      <c r="N772" t="s">
        <v>3777</v>
      </c>
      <c r="O772" t="s">
        <v>48</v>
      </c>
      <c r="P772" t="s">
        <v>59</v>
      </c>
      <c r="Q772" t="s">
        <v>3778</v>
      </c>
      <c r="R772">
        <v>86.88</v>
      </c>
      <c r="S772">
        <v>4</v>
      </c>
      <c r="T772">
        <v>0.3</v>
      </c>
      <c r="U772">
        <v>-21.68</v>
      </c>
    </row>
    <row r="773" spans="1:21" x14ac:dyDescent="0.35">
      <c r="A773" t="s">
        <v>3779</v>
      </c>
      <c r="B773" s="2">
        <v>42401</v>
      </c>
      <c r="C773" s="2" t="str">
        <f t="shared" si="24"/>
        <v>February</v>
      </c>
      <c r="D773" s="2" t="str">
        <f t="shared" si="25"/>
        <v>2016</v>
      </c>
      <c r="E773" s="2">
        <v>42462</v>
      </c>
      <c r="F773" t="s">
        <v>62</v>
      </c>
      <c r="G773" t="s">
        <v>3780</v>
      </c>
      <c r="H773" t="s">
        <v>2564</v>
      </c>
      <c r="I773" t="s">
        <v>35</v>
      </c>
      <c r="J773" t="s">
        <v>24</v>
      </c>
      <c r="K773" t="s">
        <v>73</v>
      </c>
      <c r="L773" t="s">
        <v>46</v>
      </c>
      <c r="M773" t="s">
        <v>27</v>
      </c>
      <c r="N773" t="s">
        <v>3781</v>
      </c>
      <c r="O773" t="s">
        <v>48</v>
      </c>
      <c r="P773" t="s">
        <v>76</v>
      </c>
      <c r="Q773" t="s">
        <v>3782</v>
      </c>
      <c r="R773">
        <v>126.64</v>
      </c>
      <c r="S773">
        <v>5</v>
      </c>
      <c r="T773">
        <v>0.2</v>
      </c>
      <c r="U773">
        <v>-24.97</v>
      </c>
    </row>
    <row r="774" spans="1:21" x14ac:dyDescent="0.35">
      <c r="A774" t="s">
        <v>3783</v>
      </c>
      <c r="B774" s="2">
        <v>43112</v>
      </c>
      <c r="C774" s="2" t="str">
        <f t="shared" si="24"/>
        <v>January</v>
      </c>
      <c r="D774" s="2" t="str">
        <f t="shared" si="25"/>
        <v>2018</v>
      </c>
      <c r="E774" s="2" t="s">
        <v>6107</v>
      </c>
      <c r="F774" t="s">
        <v>62</v>
      </c>
      <c r="G774" t="s">
        <v>3784</v>
      </c>
      <c r="H774" t="s">
        <v>3785</v>
      </c>
      <c r="I774" t="s">
        <v>55</v>
      </c>
      <c r="J774" t="s">
        <v>24</v>
      </c>
      <c r="K774" t="s">
        <v>36</v>
      </c>
      <c r="L774" t="s">
        <v>65</v>
      </c>
      <c r="M774" t="s">
        <v>27</v>
      </c>
      <c r="N774" t="s">
        <v>3786</v>
      </c>
      <c r="O774" t="s">
        <v>48</v>
      </c>
      <c r="P774" t="s">
        <v>59</v>
      </c>
      <c r="Q774" t="s">
        <v>3787</v>
      </c>
      <c r="R774">
        <v>623.08000000000004</v>
      </c>
      <c r="S774">
        <v>2</v>
      </c>
      <c r="T774">
        <v>0</v>
      </c>
      <c r="U774">
        <v>17.5</v>
      </c>
    </row>
    <row r="775" spans="1:21" x14ac:dyDescent="0.35">
      <c r="A775" t="s">
        <v>3788</v>
      </c>
      <c r="B775" s="2">
        <v>43190</v>
      </c>
      <c r="C775" s="2" t="str">
        <f t="shared" si="24"/>
        <v>March</v>
      </c>
      <c r="D775" s="2" t="str">
        <f t="shared" si="25"/>
        <v>2018</v>
      </c>
      <c r="E775" s="2">
        <v>43163</v>
      </c>
      <c r="F775" t="s">
        <v>62</v>
      </c>
      <c r="G775" t="s">
        <v>3789</v>
      </c>
      <c r="H775" t="s">
        <v>3790</v>
      </c>
      <c r="I775" t="s">
        <v>35</v>
      </c>
      <c r="J775" t="s">
        <v>24</v>
      </c>
      <c r="K775" t="s">
        <v>73</v>
      </c>
      <c r="L775" t="s">
        <v>26</v>
      </c>
      <c r="M775" t="s">
        <v>27</v>
      </c>
      <c r="N775" t="s">
        <v>3791</v>
      </c>
      <c r="O775" t="s">
        <v>48</v>
      </c>
      <c r="P775" t="s">
        <v>49</v>
      </c>
      <c r="Q775" t="s">
        <v>805</v>
      </c>
      <c r="R775">
        <v>1706.92</v>
      </c>
      <c r="S775">
        <v>9</v>
      </c>
      <c r="T775">
        <v>0</v>
      </c>
      <c r="U775">
        <v>644.69000000000005</v>
      </c>
    </row>
    <row r="776" spans="1:21" x14ac:dyDescent="0.35">
      <c r="A776" t="s">
        <v>3792</v>
      </c>
      <c r="B776" s="2">
        <v>43027</v>
      </c>
      <c r="C776" s="2" t="str">
        <f t="shared" si="24"/>
        <v>October</v>
      </c>
      <c r="D776" s="2" t="str">
        <f t="shared" si="25"/>
        <v>2017</v>
      </c>
      <c r="E776" s="2" t="s">
        <v>6001</v>
      </c>
      <c r="F776" t="s">
        <v>42</v>
      </c>
      <c r="G776" t="s">
        <v>3793</v>
      </c>
      <c r="H776" t="s">
        <v>760</v>
      </c>
      <c r="I776" t="s">
        <v>23</v>
      </c>
      <c r="J776" t="s">
        <v>24</v>
      </c>
      <c r="K776" t="s">
        <v>36</v>
      </c>
      <c r="L776" t="s">
        <v>36</v>
      </c>
      <c r="M776" t="s">
        <v>57</v>
      </c>
      <c r="N776" t="s">
        <v>3794</v>
      </c>
      <c r="O776" t="s">
        <v>67</v>
      </c>
      <c r="P776" t="s">
        <v>117</v>
      </c>
      <c r="Q776" t="s">
        <v>3795</v>
      </c>
      <c r="R776">
        <v>719.51</v>
      </c>
      <c r="S776">
        <v>6</v>
      </c>
      <c r="T776">
        <v>0</v>
      </c>
      <c r="U776">
        <v>78.010000000000005</v>
      </c>
    </row>
    <row r="777" spans="1:21" x14ac:dyDescent="0.35">
      <c r="A777" t="s">
        <v>3796</v>
      </c>
      <c r="B777" s="2">
        <v>43265</v>
      </c>
      <c r="C777" s="2" t="str">
        <f t="shared" si="24"/>
        <v>June</v>
      </c>
      <c r="D777" s="2" t="str">
        <f t="shared" si="25"/>
        <v>2018</v>
      </c>
      <c r="E777" s="2" t="s">
        <v>6098</v>
      </c>
      <c r="F777" t="s">
        <v>20</v>
      </c>
      <c r="G777" t="s">
        <v>3797</v>
      </c>
      <c r="H777" t="s">
        <v>3798</v>
      </c>
      <c r="I777" t="s">
        <v>23</v>
      </c>
      <c r="J777" t="s">
        <v>24</v>
      </c>
      <c r="K777" t="s">
        <v>212</v>
      </c>
      <c r="L777" t="s">
        <v>65</v>
      </c>
      <c r="M777" t="s">
        <v>83</v>
      </c>
      <c r="N777" t="s">
        <v>3799</v>
      </c>
      <c r="O777" t="s">
        <v>29</v>
      </c>
      <c r="P777" t="s">
        <v>39</v>
      </c>
      <c r="Q777" t="s">
        <v>3800</v>
      </c>
      <c r="R777">
        <v>883.7</v>
      </c>
      <c r="S777">
        <v>7</v>
      </c>
      <c r="T777">
        <v>0.4</v>
      </c>
      <c r="U777">
        <v>-196.59</v>
      </c>
    </row>
    <row r="778" spans="1:21" x14ac:dyDescent="0.35">
      <c r="A778" t="s">
        <v>3801</v>
      </c>
      <c r="B778" s="2">
        <v>43458</v>
      </c>
      <c r="C778" s="2" t="str">
        <f t="shared" si="24"/>
        <v>December</v>
      </c>
      <c r="D778" s="2" t="str">
        <f t="shared" si="25"/>
        <v>2018</v>
      </c>
      <c r="E778" s="2">
        <v>43497</v>
      </c>
      <c r="F778" t="s">
        <v>52</v>
      </c>
      <c r="G778" t="s">
        <v>3802</v>
      </c>
      <c r="H778" t="s">
        <v>3803</v>
      </c>
      <c r="I778" t="s">
        <v>23</v>
      </c>
      <c r="J778" t="s">
        <v>24</v>
      </c>
      <c r="K778" t="s">
        <v>89</v>
      </c>
      <c r="L778" t="s">
        <v>115</v>
      </c>
      <c r="M778" t="s">
        <v>57</v>
      </c>
      <c r="N778" t="s">
        <v>3804</v>
      </c>
      <c r="O778" t="s">
        <v>67</v>
      </c>
      <c r="P778" t="s">
        <v>92</v>
      </c>
      <c r="Q778" t="s">
        <v>3805</v>
      </c>
      <c r="R778">
        <v>1834.72</v>
      </c>
      <c r="S778">
        <v>3</v>
      </c>
      <c r="T778">
        <v>0.4</v>
      </c>
      <c r="U778">
        <v>-484.98</v>
      </c>
    </row>
    <row r="779" spans="1:21" x14ac:dyDescent="0.35">
      <c r="A779" t="s">
        <v>3806</v>
      </c>
      <c r="B779" s="2">
        <v>43357</v>
      </c>
      <c r="C779" s="2" t="str">
        <f t="shared" si="24"/>
        <v>September</v>
      </c>
      <c r="D779" s="2" t="str">
        <f t="shared" si="25"/>
        <v>2018</v>
      </c>
      <c r="E779" s="2" t="s">
        <v>6000</v>
      </c>
      <c r="F779" t="s">
        <v>20</v>
      </c>
      <c r="G779" t="s">
        <v>3807</v>
      </c>
      <c r="H779" t="s">
        <v>1950</v>
      </c>
      <c r="I779" t="s">
        <v>55</v>
      </c>
      <c r="J779" t="s">
        <v>24</v>
      </c>
      <c r="K779" t="s">
        <v>97</v>
      </c>
      <c r="L779" t="s">
        <v>65</v>
      </c>
      <c r="M779" t="s">
        <v>83</v>
      </c>
      <c r="N779" t="s">
        <v>3808</v>
      </c>
      <c r="O779" t="s">
        <v>48</v>
      </c>
      <c r="P779" t="s">
        <v>76</v>
      </c>
      <c r="Q779" t="s">
        <v>3809</v>
      </c>
      <c r="R779">
        <v>1169.48</v>
      </c>
      <c r="S779">
        <v>4</v>
      </c>
      <c r="T779">
        <v>0</v>
      </c>
      <c r="U779">
        <v>-103.11</v>
      </c>
    </row>
    <row r="780" spans="1:21" x14ac:dyDescent="0.35">
      <c r="A780" t="s">
        <v>3810</v>
      </c>
      <c r="B780" s="2">
        <v>42625</v>
      </c>
      <c r="C780" s="2" t="str">
        <f t="shared" si="24"/>
        <v>September</v>
      </c>
      <c r="D780" s="2" t="str">
        <f t="shared" si="25"/>
        <v>2016</v>
      </c>
      <c r="E780" s="2" t="s">
        <v>6296</v>
      </c>
      <c r="F780" t="s">
        <v>42</v>
      </c>
      <c r="G780" t="s">
        <v>3811</v>
      </c>
      <c r="H780" t="s">
        <v>3812</v>
      </c>
      <c r="I780" t="s">
        <v>35</v>
      </c>
      <c r="J780" t="s">
        <v>24</v>
      </c>
      <c r="K780" t="s">
        <v>133</v>
      </c>
      <c r="L780" t="s">
        <v>170</v>
      </c>
      <c r="M780" t="s">
        <v>74</v>
      </c>
      <c r="N780" t="s">
        <v>3813</v>
      </c>
      <c r="O780" t="s">
        <v>29</v>
      </c>
      <c r="P780" t="s">
        <v>30</v>
      </c>
      <c r="Q780" t="s">
        <v>3814</v>
      </c>
      <c r="R780">
        <v>260.75</v>
      </c>
      <c r="S780">
        <v>2</v>
      </c>
      <c r="T780">
        <v>0</v>
      </c>
      <c r="U780">
        <v>-11.54</v>
      </c>
    </row>
    <row r="781" spans="1:21" x14ac:dyDescent="0.35">
      <c r="A781" t="s">
        <v>3815</v>
      </c>
      <c r="B781" s="2">
        <v>43803</v>
      </c>
      <c r="C781" s="2" t="str">
        <f t="shared" si="24"/>
        <v>December</v>
      </c>
      <c r="D781" s="2" t="str">
        <f t="shared" si="25"/>
        <v>2019</v>
      </c>
      <c r="E781" s="2">
        <v>43811</v>
      </c>
      <c r="F781" t="s">
        <v>42</v>
      </c>
      <c r="G781" t="s">
        <v>3816</v>
      </c>
      <c r="H781" t="s">
        <v>3817</v>
      </c>
      <c r="I781" t="s">
        <v>55</v>
      </c>
      <c r="J781" t="s">
        <v>24</v>
      </c>
      <c r="K781" t="s">
        <v>81</v>
      </c>
      <c r="L781" t="s">
        <v>56</v>
      </c>
      <c r="M781" t="s">
        <v>27</v>
      </c>
      <c r="N781" t="s">
        <v>3818</v>
      </c>
      <c r="O781" t="s">
        <v>29</v>
      </c>
      <c r="P781" t="s">
        <v>30</v>
      </c>
      <c r="Q781" t="s">
        <v>3819</v>
      </c>
      <c r="R781">
        <v>1792.42</v>
      </c>
      <c r="S781">
        <v>1</v>
      </c>
      <c r="T781">
        <v>0</v>
      </c>
      <c r="U781">
        <v>210.43</v>
      </c>
    </row>
    <row r="782" spans="1:21" x14ac:dyDescent="0.35">
      <c r="A782" t="s">
        <v>3820</v>
      </c>
      <c r="B782" s="2">
        <v>43772</v>
      </c>
      <c r="C782" s="2" t="str">
        <f t="shared" si="24"/>
        <v>November</v>
      </c>
      <c r="D782" s="2" t="str">
        <f t="shared" si="25"/>
        <v>2019</v>
      </c>
      <c r="E782" s="2">
        <v>43688</v>
      </c>
      <c r="F782" t="s">
        <v>42</v>
      </c>
      <c r="G782" t="s">
        <v>3821</v>
      </c>
      <c r="H782" t="s">
        <v>2110</v>
      </c>
      <c r="I782" t="s">
        <v>35</v>
      </c>
      <c r="J782" t="s">
        <v>24</v>
      </c>
      <c r="K782" t="s">
        <v>45</v>
      </c>
      <c r="L782" t="s">
        <v>90</v>
      </c>
      <c r="M782" t="s">
        <v>27</v>
      </c>
      <c r="N782" t="s">
        <v>3822</v>
      </c>
      <c r="O782" t="s">
        <v>29</v>
      </c>
      <c r="P782" t="s">
        <v>110</v>
      </c>
      <c r="Q782" t="s">
        <v>3823</v>
      </c>
      <c r="R782">
        <v>868.61</v>
      </c>
      <c r="S782">
        <v>4</v>
      </c>
      <c r="T782">
        <v>0</v>
      </c>
      <c r="U782">
        <v>-215.79</v>
      </c>
    </row>
    <row r="783" spans="1:21" x14ac:dyDescent="0.35">
      <c r="A783" t="s">
        <v>3824</v>
      </c>
      <c r="B783" s="2">
        <v>43453</v>
      </c>
      <c r="C783" s="2" t="str">
        <f t="shared" si="24"/>
        <v>December</v>
      </c>
      <c r="D783" s="2" t="str">
        <f t="shared" si="25"/>
        <v>2018</v>
      </c>
      <c r="E783" s="2" t="s">
        <v>6344</v>
      </c>
      <c r="F783" t="s">
        <v>42</v>
      </c>
      <c r="G783" t="s">
        <v>3825</v>
      </c>
      <c r="H783" t="s">
        <v>3826</v>
      </c>
      <c r="I783" t="s">
        <v>23</v>
      </c>
      <c r="J783" t="s">
        <v>24</v>
      </c>
      <c r="K783" t="s">
        <v>36</v>
      </c>
      <c r="L783" t="s">
        <v>37</v>
      </c>
      <c r="M783" t="s">
        <v>57</v>
      </c>
      <c r="N783" t="s">
        <v>3827</v>
      </c>
      <c r="O783" t="s">
        <v>29</v>
      </c>
      <c r="P783" t="s">
        <v>110</v>
      </c>
      <c r="Q783" t="s">
        <v>3828</v>
      </c>
      <c r="R783">
        <v>949.28</v>
      </c>
      <c r="S783">
        <v>6</v>
      </c>
      <c r="T783">
        <v>0.2</v>
      </c>
      <c r="U783">
        <v>-191.8</v>
      </c>
    </row>
    <row r="784" spans="1:21" x14ac:dyDescent="0.35">
      <c r="A784" t="s">
        <v>3829</v>
      </c>
      <c r="B784" s="2">
        <v>42645</v>
      </c>
      <c r="C784" s="2" t="str">
        <f t="shared" si="24"/>
        <v>October</v>
      </c>
      <c r="D784" s="2" t="str">
        <f t="shared" si="25"/>
        <v>2016</v>
      </c>
      <c r="E784" s="2">
        <v>42714</v>
      </c>
      <c r="F784" t="s">
        <v>42</v>
      </c>
      <c r="G784" t="s">
        <v>3830</v>
      </c>
      <c r="H784" t="s">
        <v>3831</v>
      </c>
      <c r="I784" t="s">
        <v>55</v>
      </c>
      <c r="J784" t="s">
        <v>24</v>
      </c>
      <c r="K784" t="s">
        <v>36</v>
      </c>
      <c r="L784" t="s">
        <v>170</v>
      </c>
      <c r="M784" t="s">
        <v>83</v>
      </c>
      <c r="N784" t="s">
        <v>3832</v>
      </c>
      <c r="O784" t="s">
        <v>48</v>
      </c>
      <c r="P784" t="s">
        <v>49</v>
      </c>
      <c r="Q784" t="s">
        <v>3833</v>
      </c>
      <c r="R784">
        <v>1997.01</v>
      </c>
      <c r="S784">
        <v>9</v>
      </c>
      <c r="T784">
        <v>0.1</v>
      </c>
      <c r="U784">
        <v>964.94</v>
      </c>
    </row>
    <row r="785" spans="1:21" x14ac:dyDescent="0.35">
      <c r="A785" t="s">
        <v>3834</v>
      </c>
      <c r="B785" s="2">
        <v>43363</v>
      </c>
      <c r="C785" s="2" t="str">
        <f t="shared" si="24"/>
        <v>September</v>
      </c>
      <c r="D785" s="2" t="str">
        <f t="shared" si="25"/>
        <v>2018</v>
      </c>
      <c r="E785" s="2" t="s">
        <v>6266</v>
      </c>
      <c r="F785" t="s">
        <v>42</v>
      </c>
      <c r="G785" t="s">
        <v>3835</v>
      </c>
      <c r="H785" t="s">
        <v>3836</v>
      </c>
      <c r="I785" t="s">
        <v>23</v>
      </c>
      <c r="J785" t="s">
        <v>24</v>
      </c>
      <c r="K785" t="s">
        <v>212</v>
      </c>
      <c r="L785" t="s">
        <v>56</v>
      </c>
      <c r="M785" t="s">
        <v>57</v>
      </c>
      <c r="N785" t="s">
        <v>3837</v>
      </c>
      <c r="O785" t="s">
        <v>29</v>
      </c>
      <c r="P785" t="s">
        <v>110</v>
      </c>
      <c r="Q785" t="s">
        <v>3838</v>
      </c>
      <c r="R785">
        <v>1384.48</v>
      </c>
      <c r="S785">
        <v>10</v>
      </c>
      <c r="T785">
        <v>0</v>
      </c>
      <c r="U785">
        <v>-213.14</v>
      </c>
    </row>
    <row r="786" spans="1:21" x14ac:dyDescent="0.35">
      <c r="A786" t="s">
        <v>3839</v>
      </c>
      <c r="B786" s="2">
        <v>43467</v>
      </c>
      <c r="C786" s="2" t="str">
        <f t="shared" si="24"/>
        <v>January</v>
      </c>
      <c r="D786" s="2" t="str">
        <f t="shared" si="25"/>
        <v>2019</v>
      </c>
      <c r="E786" s="2">
        <v>43586</v>
      </c>
      <c r="F786" t="s">
        <v>42</v>
      </c>
      <c r="G786" t="s">
        <v>3840</v>
      </c>
      <c r="H786" t="s">
        <v>3841</v>
      </c>
      <c r="I786" t="s">
        <v>35</v>
      </c>
      <c r="J786" t="s">
        <v>24</v>
      </c>
      <c r="K786" t="s">
        <v>73</v>
      </c>
      <c r="L786" t="s">
        <v>36</v>
      </c>
      <c r="M786" t="s">
        <v>57</v>
      </c>
      <c r="N786" t="s">
        <v>3842</v>
      </c>
      <c r="O786" t="s">
        <v>29</v>
      </c>
      <c r="P786" t="s">
        <v>30</v>
      </c>
      <c r="Q786" t="s">
        <v>300</v>
      </c>
      <c r="R786">
        <v>356.69</v>
      </c>
      <c r="S786">
        <v>5</v>
      </c>
      <c r="T786">
        <v>0</v>
      </c>
      <c r="U786">
        <v>25.13</v>
      </c>
    </row>
    <row r="787" spans="1:21" x14ac:dyDescent="0.35">
      <c r="A787" t="s">
        <v>3843</v>
      </c>
      <c r="B787" s="2">
        <v>42644</v>
      </c>
      <c r="C787" s="2" t="str">
        <f t="shared" si="24"/>
        <v>October</v>
      </c>
      <c r="D787" s="2" t="str">
        <f t="shared" si="25"/>
        <v>2016</v>
      </c>
      <c r="E787" s="2">
        <v>42410</v>
      </c>
      <c r="F787" t="s">
        <v>42</v>
      </c>
      <c r="G787" t="s">
        <v>3844</v>
      </c>
      <c r="H787" t="s">
        <v>3845</v>
      </c>
      <c r="I787" t="s">
        <v>55</v>
      </c>
      <c r="J787" t="s">
        <v>24</v>
      </c>
      <c r="K787" t="s">
        <v>212</v>
      </c>
      <c r="L787" t="s">
        <v>46</v>
      </c>
      <c r="M787" t="s">
        <v>74</v>
      </c>
      <c r="N787" t="s">
        <v>3846</v>
      </c>
      <c r="O787" t="s">
        <v>67</v>
      </c>
      <c r="P787" t="s">
        <v>229</v>
      </c>
      <c r="Q787" t="s">
        <v>3847</v>
      </c>
      <c r="R787">
        <v>176.1</v>
      </c>
      <c r="S787">
        <v>5</v>
      </c>
      <c r="T787">
        <v>0</v>
      </c>
      <c r="U787">
        <v>78.81</v>
      </c>
    </row>
    <row r="788" spans="1:21" x14ac:dyDescent="0.35">
      <c r="A788" t="s">
        <v>3848</v>
      </c>
      <c r="B788" s="2">
        <v>42923</v>
      </c>
      <c r="C788" s="2" t="str">
        <f t="shared" si="24"/>
        <v>July</v>
      </c>
      <c r="D788" s="2" t="str">
        <f t="shared" si="25"/>
        <v>2017</v>
      </c>
      <c r="E788" s="2">
        <v>43046</v>
      </c>
      <c r="F788" t="s">
        <v>52</v>
      </c>
      <c r="G788" t="s">
        <v>3849</v>
      </c>
      <c r="H788" t="s">
        <v>3850</v>
      </c>
      <c r="I788" t="s">
        <v>55</v>
      </c>
      <c r="J788" t="s">
        <v>24</v>
      </c>
      <c r="K788" t="s">
        <v>81</v>
      </c>
      <c r="L788" t="s">
        <v>90</v>
      </c>
      <c r="M788" t="s">
        <v>74</v>
      </c>
      <c r="N788" t="s">
        <v>3851</v>
      </c>
      <c r="O788" t="s">
        <v>29</v>
      </c>
      <c r="P788" t="s">
        <v>110</v>
      </c>
      <c r="Q788" t="s">
        <v>3852</v>
      </c>
      <c r="R788">
        <v>369.05</v>
      </c>
      <c r="S788">
        <v>7</v>
      </c>
      <c r="T788">
        <v>0.2</v>
      </c>
      <c r="U788">
        <v>111.57</v>
      </c>
    </row>
    <row r="789" spans="1:21" x14ac:dyDescent="0.35">
      <c r="A789" t="s">
        <v>3853</v>
      </c>
      <c r="B789" s="2">
        <v>42929</v>
      </c>
      <c r="C789" s="2" t="str">
        <f t="shared" si="24"/>
        <v>July</v>
      </c>
      <c r="D789" s="2" t="str">
        <f t="shared" si="25"/>
        <v>2017</v>
      </c>
      <c r="E789" s="2" t="s">
        <v>6210</v>
      </c>
      <c r="F789" t="s">
        <v>42</v>
      </c>
      <c r="G789" t="s">
        <v>3854</v>
      </c>
      <c r="H789" t="s">
        <v>3855</v>
      </c>
      <c r="I789" t="s">
        <v>23</v>
      </c>
      <c r="J789" t="s">
        <v>24</v>
      </c>
      <c r="K789" t="s">
        <v>45</v>
      </c>
      <c r="L789" t="s">
        <v>56</v>
      </c>
      <c r="M789" t="s">
        <v>27</v>
      </c>
      <c r="N789" t="s">
        <v>3856</v>
      </c>
      <c r="O789" t="s">
        <v>67</v>
      </c>
      <c r="P789" t="s">
        <v>68</v>
      </c>
      <c r="Q789" t="s">
        <v>3857</v>
      </c>
      <c r="R789">
        <v>1841.78</v>
      </c>
      <c r="S789">
        <v>9</v>
      </c>
      <c r="T789">
        <v>0.2</v>
      </c>
      <c r="U789">
        <v>153.04</v>
      </c>
    </row>
    <row r="790" spans="1:21" x14ac:dyDescent="0.35">
      <c r="A790" t="s">
        <v>3858</v>
      </c>
      <c r="B790" s="2">
        <v>42402</v>
      </c>
      <c r="C790" s="2" t="str">
        <f t="shared" si="24"/>
        <v>February</v>
      </c>
      <c r="D790" s="2" t="str">
        <f t="shared" si="25"/>
        <v>2016</v>
      </c>
      <c r="E790" s="2">
        <v>42492</v>
      </c>
      <c r="F790" t="s">
        <v>52</v>
      </c>
      <c r="G790" t="s">
        <v>3859</v>
      </c>
      <c r="H790" t="s">
        <v>3860</v>
      </c>
      <c r="I790" t="s">
        <v>35</v>
      </c>
      <c r="J790" t="s">
        <v>24</v>
      </c>
      <c r="K790" t="s">
        <v>212</v>
      </c>
      <c r="L790" t="s">
        <v>90</v>
      </c>
      <c r="M790" t="s">
        <v>27</v>
      </c>
      <c r="N790" t="s">
        <v>3861</v>
      </c>
      <c r="O790" t="s">
        <v>29</v>
      </c>
      <c r="P790" t="s">
        <v>30</v>
      </c>
      <c r="Q790" t="s">
        <v>3862</v>
      </c>
      <c r="R790">
        <v>399.04</v>
      </c>
      <c r="S790">
        <v>9</v>
      </c>
      <c r="T790">
        <v>0</v>
      </c>
      <c r="U790">
        <v>-55.35</v>
      </c>
    </row>
    <row r="791" spans="1:21" x14ac:dyDescent="0.35">
      <c r="A791" t="s">
        <v>3863</v>
      </c>
      <c r="B791" s="2">
        <v>43829</v>
      </c>
      <c r="C791" s="2" t="str">
        <f t="shared" si="24"/>
        <v>December</v>
      </c>
      <c r="D791" s="2" t="str">
        <f t="shared" si="25"/>
        <v>2019</v>
      </c>
      <c r="E791" s="2">
        <v>44044</v>
      </c>
      <c r="F791" t="s">
        <v>52</v>
      </c>
      <c r="G791" t="s">
        <v>3864</v>
      </c>
      <c r="H791" t="s">
        <v>3865</v>
      </c>
      <c r="I791" t="s">
        <v>55</v>
      </c>
      <c r="J791" t="s">
        <v>24</v>
      </c>
      <c r="K791" t="s">
        <v>81</v>
      </c>
      <c r="L791" t="s">
        <v>46</v>
      </c>
      <c r="M791" t="s">
        <v>57</v>
      </c>
      <c r="N791" t="s">
        <v>3866</v>
      </c>
      <c r="O791" t="s">
        <v>67</v>
      </c>
      <c r="P791" t="s">
        <v>68</v>
      </c>
      <c r="Q791" t="s">
        <v>1055</v>
      </c>
      <c r="R791">
        <v>230.5</v>
      </c>
      <c r="S791">
        <v>1</v>
      </c>
      <c r="T791">
        <v>0</v>
      </c>
      <c r="U791">
        <v>99.26</v>
      </c>
    </row>
    <row r="792" spans="1:21" x14ac:dyDescent="0.35">
      <c r="A792" t="s">
        <v>3867</v>
      </c>
      <c r="B792" s="2">
        <v>43574</v>
      </c>
      <c r="C792" s="2" t="str">
        <f t="shared" si="24"/>
        <v>April</v>
      </c>
      <c r="D792" s="2" t="str">
        <f t="shared" si="25"/>
        <v>2019</v>
      </c>
      <c r="E792" s="2" t="s">
        <v>6177</v>
      </c>
      <c r="F792" t="s">
        <v>62</v>
      </c>
      <c r="G792" t="s">
        <v>3868</v>
      </c>
      <c r="H792" t="s">
        <v>468</v>
      </c>
      <c r="I792" t="s">
        <v>55</v>
      </c>
      <c r="J792" t="s">
        <v>24</v>
      </c>
      <c r="K792" t="s">
        <v>103</v>
      </c>
      <c r="L792" t="s">
        <v>36</v>
      </c>
      <c r="M792" t="s">
        <v>27</v>
      </c>
      <c r="N792" t="s">
        <v>3869</v>
      </c>
      <c r="O792" t="s">
        <v>67</v>
      </c>
      <c r="P792" t="s">
        <v>350</v>
      </c>
      <c r="Q792" t="s">
        <v>2303</v>
      </c>
      <c r="R792">
        <v>753.02</v>
      </c>
      <c r="S792">
        <v>8</v>
      </c>
      <c r="T792">
        <v>0.4</v>
      </c>
      <c r="U792">
        <v>-78.959999999999994</v>
      </c>
    </row>
    <row r="793" spans="1:21" x14ac:dyDescent="0.35">
      <c r="A793" t="s">
        <v>3870</v>
      </c>
      <c r="B793" s="2">
        <v>43219</v>
      </c>
      <c r="C793" s="2" t="str">
        <f t="shared" si="24"/>
        <v>April</v>
      </c>
      <c r="D793" s="2" t="str">
        <f t="shared" si="25"/>
        <v>2018</v>
      </c>
      <c r="E793" s="2">
        <v>43105</v>
      </c>
      <c r="F793" t="s">
        <v>20</v>
      </c>
      <c r="G793" t="s">
        <v>3871</v>
      </c>
      <c r="H793" t="s">
        <v>3872</v>
      </c>
      <c r="I793" t="s">
        <v>23</v>
      </c>
      <c r="J793" t="s">
        <v>24</v>
      </c>
      <c r="K793" t="s">
        <v>103</v>
      </c>
      <c r="L793" t="s">
        <v>65</v>
      </c>
      <c r="M793" t="s">
        <v>57</v>
      </c>
      <c r="N793" t="s">
        <v>3873</v>
      </c>
      <c r="O793" t="s">
        <v>67</v>
      </c>
      <c r="P793" t="s">
        <v>92</v>
      </c>
      <c r="Q793" t="s">
        <v>3874</v>
      </c>
      <c r="R793">
        <v>1847.65</v>
      </c>
      <c r="S793">
        <v>7</v>
      </c>
      <c r="T793">
        <v>0.4</v>
      </c>
      <c r="U793">
        <v>843.4</v>
      </c>
    </row>
    <row r="794" spans="1:21" x14ac:dyDescent="0.35">
      <c r="A794" t="s">
        <v>3875</v>
      </c>
      <c r="B794" s="2">
        <v>43829</v>
      </c>
      <c r="C794" s="2" t="str">
        <f t="shared" si="24"/>
        <v>December</v>
      </c>
      <c r="D794" s="2" t="str">
        <f t="shared" si="25"/>
        <v>2019</v>
      </c>
      <c r="E794" s="2">
        <v>44013</v>
      </c>
      <c r="F794" t="s">
        <v>20</v>
      </c>
      <c r="G794" t="s">
        <v>3876</v>
      </c>
      <c r="H794" t="s">
        <v>3877</v>
      </c>
      <c r="I794" t="s">
        <v>23</v>
      </c>
      <c r="J794" t="s">
        <v>24</v>
      </c>
      <c r="K794" t="s">
        <v>212</v>
      </c>
      <c r="L794" t="s">
        <v>115</v>
      </c>
      <c r="M794" t="s">
        <v>83</v>
      </c>
      <c r="N794" t="s">
        <v>3878</v>
      </c>
      <c r="O794" t="s">
        <v>67</v>
      </c>
      <c r="P794" t="s">
        <v>68</v>
      </c>
      <c r="Q794" t="s">
        <v>3879</v>
      </c>
      <c r="R794">
        <v>356.91</v>
      </c>
      <c r="S794">
        <v>10</v>
      </c>
      <c r="T794">
        <v>0</v>
      </c>
      <c r="U794">
        <v>10.08</v>
      </c>
    </row>
    <row r="795" spans="1:21" x14ac:dyDescent="0.35">
      <c r="A795" t="s">
        <v>3880</v>
      </c>
      <c r="B795" s="2">
        <v>43117</v>
      </c>
      <c r="C795" s="2" t="str">
        <f t="shared" si="24"/>
        <v>January</v>
      </c>
      <c r="D795" s="2" t="str">
        <f t="shared" si="25"/>
        <v>2018</v>
      </c>
      <c r="E795" s="2" t="s">
        <v>6063</v>
      </c>
      <c r="F795" t="s">
        <v>20</v>
      </c>
      <c r="G795" t="s">
        <v>3881</v>
      </c>
      <c r="H795" t="s">
        <v>3882</v>
      </c>
      <c r="I795" t="s">
        <v>55</v>
      </c>
      <c r="J795" t="s">
        <v>24</v>
      </c>
      <c r="K795" t="s">
        <v>36</v>
      </c>
      <c r="L795" t="s">
        <v>56</v>
      </c>
      <c r="M795" t="s">
        <v>27</v>
      </c>
      <c r="N795" t="s">
        <v>3883</v>
      </c>
      <c r="O795" t="s">
        <v>67</v>
      </c>
      <c r="P795" t="s">
        <v>229</v>
      </c>
      <c r="Q795" t="s">
        <v>2064</v>
      </c>
      <c r="R795">
        <v>1491.52</v>
      </c>
      <c r="S795">
        <v>3</v>
      </c>
      <c r="T795">
        <v>0.1</v>
      </c>
      <c r="U795">
        <v>-265.72000000000003</v>
      </c>
    </row>
    <row r="796" spans="1:21" x14ac:dyDescent="0.35">
      <c r="A796" t="s">
        <v>3884</v>
      </c>
      <c r="B796" s="2">
        <v>43720</v>
      </c>
      <c r="C796" s="2" t="str">
        <f t="shared" si="24"/>
        <v>September</v>
      </c>
      <c r="D796" s="2" t="str">
        <f t="shared" si="25"/>
        <v>2019</v>
      </c>
      <c r="E796" s="2" t="s">
        <v>6062</v>
      </c>
      <c r="F796" t="s">
        <v>52</v>
      </c>
      <c r="G796" t="s">
        <v>3885</v>
      </c>
      <c r="H796" t="s">
        <v>3886</v>
      </c>
      <c r="I796" t="s">
        <v>23</v>
      </c>
      <c r="J796" t="s">
        <v>24</v>
      </c>
      <c r="K796" t="s">
        <v>97</v>
      </c>
      <c r="L796" t="s">
        <v>65</v>
      </c>
      <c r="M796" t="s">
        <v>27</v>
      </c>
      <c r="N796" t="s">
        <v>3887</v>
      </c>
      <c r="O796" t="s">
        <v>48</v>
      </c>
      <c r="P796" t="s">
        <v>76</v>
      </c>
      <c r="Q796" t="s">
        <v>3888</v>
      </c>
      <c r="R796">
        <v>931.66</v>
      </c>
      <c r="S796">
        <v>10</v>
      </c>
      <c r="T796">
        <v>0</v>
      </c>
      <c r="U796">
        <v>64.569999999999993</v>
      </c>
    </row>
    <row r="797" spans="1:21" x14ac:dyDescent="0.35">
      <c r="A797" t="s">
        <v>3889</v>
      </c>
      <c r="B797" s="2">
        <v>43477</v>
      </c>
      <c r="C797" s="2" t="str">
        <f t="shared" si="24"/>
        <v>January</v>
      </c>
      <c r="D797" s="2" t="str">
        <f t="shared" si="25"/>
        <v>2019</v>
      </c>
      <c r="E797" s="2" t="s">
        <v>6345</v>
      </c>
      <c r="F797" t="s">
        <v>42</v>
      </c>
      <c r="G797" t="s">
        <v>3890</v>
      </c>
      <c r="H797" t="s">
        <v>3891</v>
      </c>
      <c r="I797" t="s">
        <v>35</v>
      </c>
      <c r="J797" t="s">
        <v>24</v>
      </c>
      <c r="K797" t="s">
        <v>25</v>
      </c>
      <c r="L797" t="s">
        <v>115</v>
      </c>
      <c r="M797" t="s">
        <v>27</v>
      </c>
      <c r="N797" t="s">
        <v>3892</v>
      </c>
      <c r="O797" t="s">
        <v>48</v>
      </c>
      <c r="P797" t="s">
        <v>76</v>
      </c>
      <c r="Q797" t="s">
        <v>3893</v>
      </c>
      <c r="R797">
        <v>349.01</v>
      </c>
      <c r="S797">
        <v>6</v>
      </c>
      <c r="T797">
        <v>0.1</v>
      </c>
      <c r="U797">
        <v>75.61</v>
      </c>
    </row>
    <row r="798" spans="1:21" x14ac:dyDescent="0.35">
      <c r="A798" t="s">
        <v>3894</v>
      </c>
      <c r="B798" s="2">
        <v>42644</v>
      </c>
      <c r="C798" s="2" t="str">
        <f t="shared" si="24"/>
        <v>October</v>
      </c>
      <c r="D798" s="2" t="str">
        <f t="shared" si="25"/>
        <v>2016</v>
      </c>
      <c r="E798" s="2">
        <v>42439</v>
      </c>
      <c r="F798" t="s">
        <v>62</v>
      </c>
      <c r="G798" t="s">
        <v>3895</v>
      </c>
      <c r="H798" t="s">
        <v>3896</v>
      </c>
      <c r="I798" t="s">
        <v>35</v>
      </c>
      <c r="J798" t="s">
        <v>24</v>
      </c>
      <c r="K798" t="s">
        <v>36</v>
      </c>
      <c r="L798" t="s">
        <v>26</v>
      </c>
      <c r="M798" t="s">
        <v>74</v>
      </c>
      <c r="N798" t="s">
        <v>3897</v>
      </c>
      <c r="O798" t="s">
        <v>29</v>
      </c>
      <c r="P798" t="s">
        <v>155</v>
      </c>
      <c r="Q798" t="s">
        <v>3898</v>
      </c>
      <c r="R798">
        <v>1912.4</v>
      </c>
      <c r="S798">
        <v>8</v>
      </c>
      <c r="T798">
        <v>0.3</v>
      </c>
      <c r="U798">
        <v>-118.99</v>
      </c>
    </row>
    <row r="799" spans="1:21" x14ac:dyDescent="0.35">
      <c r="A799" t="s">
        <v>3899</v>
      </c>
      <c r="B799" s="2">
        <v>43341</v>
      </c>
      <c r="C799" s="2" t="str">
        <f t="shared" si="24"/>
        <v>August</v>
      </c>
      <c r="D799" s="2" t="str">
        <f t="shared" si="25"/>
        <v>2018</v>
      </c>
      <c r="E799" s="2">
        <v>43168</v>
      </c>
      <c r="F799" t="s">
        <v>20</v>
      </c>
      <c r="G799" t="s">
        <v>3900</v>
      </c>
      <c r="H799" t="s">
        <v>3901</v>
      </c>
      <c r="I799" t="s">
        <v>35</v>
      </c>
      <c r="J799" t="s">
        <v>24</v>
      </c>
      <c r="K799" t="s">
        <v>36</v>
      </c>
      <c r="L799" t="s">
        <v>37</v>
      </c>
      <c r="M799" t="s">
        <v>57</v>
      </c>
      <c r="N799" t="s">
        <v>3902</v>
      </c>
      <c r="O799" t="s">
        <v>67</v>
      </c>
      <c r="P799" t="s">
        <v>229</v>
      </c>
      <c r="Q799" t="s">
        <v>3903</v>
      </c>
      <c r="R799">
        <v>264.27999999999997</v>
      </c>
      <c r="S799">
        <v>8</v>
      </c>
      <c r="T799">
        <v>0.2</v>
      </c>
      <c r="U799">
        <v>-9.67</v>
      </c>
    </row>
    <row r="800" spans="1:21" x14ac:dyDescent="0.35">
      <c r="A800" t="s">
        <v>3904</v>
      </c>
      <c r="B800" s="2">
        <v>43264</v>
      </c>
      <c r="C800" s="2" t="str">
        <f t="shared" si="24"/>
        <v>June</v>
      </c>
      <c r="D800" s="2" t="str">
        <f t="shared" si="25"/>
        <v>2018</v>
      </c>
      <c r="E800" s="2" t="s">
        <v>5975</v>
      </c>
      <c r="F800" t="s">
        <v>20</v>
      </c>
      <c r="G800" t="s">
        <v>3905</v>
      </c>
      <c r="H800" t="s">
        <v>3906</v>
      </c>
      <c r="I800" t="s">
        <v>23</v>
      </c>
      <c r="J800" t="s">
        <v>24</v>
      </c>
      <c r="K800" t="s">
        <v>133</v>
      </c>
      <c r="L800" t="s">
        <v>82</v>
      </c>
      <c r="M800" t="s">
        <v>57</v>
      </c>
      <c r="N800" t="s">
        <v>3907</v>
      </c>
      <c r="O800" t="s">
        <v>48</v>
      </c>
      <c r="P800" t="s">
        <v>76</v>
      </c>
      <c r="Q800" t="s">
        <v>3908</v>
      </c>
      <c r="R800">
        <v>1008.94</v>
      </c>
      <c r="S800">
        <v>3</v>
      </c>
      <c r="T800">
        <v>0.2</v>
      </c>
      <c r="U800">
        <v>239.06</v>
      </c>
    </row>
    <row r="801" spans="1:21" x14ac:dyDescent="0.35">
      <c r="A801" t="s">
        <v>3909</v>
      </c>
      <c r="B801" s="2">
        <v>42844</v>
      </c>
      <c r="C801" s="2" t="str">
        <f t="shared" si="24"/>
        <v>April</v>
      </c>
      <c r="D801" s="2" t="str">
        <f t="shared" si="25"/>
        <v>2017</v>
      </c>
      <c r="E801" s="2" t="s">
        <v>6124</v>
      </c>
      <c r="F801" t="s">
        <v>52</v>
      </c>
      <c r="G801" t="s">
        <v>3910</v>
      </c>
      <c r="H801" t="s">
        <v>3911</v>
      </c>
      <c r="I801" t="s">
        <v>35</v>
      </c>
      <c r="J801" t="s">
        <v>24</v>
      </c>
      <c r="K801" t="s">
        <v>73</v>
      </c>
      <c r="L801" t="s">
        <v>170</v>
      </c>
      <c r="M801" t="s">
        <v>74</v>
      </c>
      <c r="N801" t="s">
        <v>3912</v>
      </c>
      <c r="O801" t="s">
        <v>48</v>
      </c>
      <c r="P801" t="s">
        <v>76</v>
      </c>
      <c r="Q801" t="s">
        <v>3913</v>
      </c>
      <c r="R801">
        <v>557.21</v>
      </c>
      <c r="S801">
        <v>4</v>
      </c>
      <c r="T801">
        <v>0.4</v>
      </c>
      <c r="U801">
        <v>221.19</v>
      </c>
    </row>
    <row r="802" spans="1:21" x14ac:dyDescent="0.35">
      <c r="A802" t="s">
        <v>3914</v>
      </c>
      <c r="B802" s="2">
        <v>43549</v>
      </c>
      <c r="C802" s="2" t="str">
        <f t="shared" si="24"/>
        <v>March</v>
      </c>
      <c r="D802" s="2" t="str">
        <f t="shared" si="25"/>
        <v>2019</v>
      </c>
      <c r="E802" s="2">
        <v>43500</v>
      </c>
      <c r="F802" t="s">
        <v>42</v>
      </c>
      <c r="G802" t="s">
        <v>3915</v>
      </c>
      <c r="H802" t="s">
        <v>3916</v>
      </c>
      <c r="I802" t="s">
        <v>35</v>
      </c>
      <c r="J802" t="s">
        <v>24</v>
      </c>
      <c r="K802" t="s">
        <v>45</v>
      </c>
      <c r="L802" t="s">
        <v>90</v>
      </c>
      <c r="M802" t="s">
        <v>74</v>
      </c>
      <c r="N802" t="s">
        <v>3917</v>
      </c>
      <c r="O802" t="s">
        <v>48</v>
      </c>
      <c r="P802" t="s">
        <v>76</v>
      </c>
      <c r="Q802" t="s">
        <v>3918</v>
      </c>
      <c r="R802">
        <v>1625.94</v>
      </c>
      <c r="S802">
        <v>8</v>
      </c>
      <c r="T802">
        <v>0</v>
      </c>
      <c r="U802">
        <v>41.76</v>
      </c>
    </row>
    <row r="803" spans="1:21" x14ac:dyDescent="0.35">
      <c r="A803" t="s">
        <v>3919</v>
      </c>
      <c r="B803" s="2">
        <v>42664</v>
      </c>
      <c r="C803" s="2" t="str">
        <f t="shared" si="24"/>
        <v>October</v>
      </c>
      <c r="D803" s="2" t="str">
        <f t="shared" si="25"/>
        <v>2016</v>
      </c>
      <c r="E803" s="2" t="s">
        <v>6346</v>
      </c>
      <c r="F803" t="s">
        <v>52</v>
      </c>
      <c r="G803" t="s">
        <v>3920</v>
      </c>
      <c r="H803" t="s">
        <v>3921</v>
      </c>
      <c r="I803" t="s">
        <v>35</v>
      </c>
      <c r="J803" t="s">
        <v>24</v>
      </c>
      <c r="K803" t="s">
        <v>45</v>
      </c>
      <c r="L803" t="s">
        <v>56</v>
      </c>
      <c r="M803" t="s">
        <v>57</v>
      </c>
      <c r="N803" t="s">
        <v>3922</v>
      </c>
      <c r="O803" t="s">
        <v>29</v>
      </c>
      <c r="P803" t="s">
        <v>110</v>
      </c>
      <c r="Q803" t="s">
        <v>3923</v>
      </c>
      <c r="R803">
        <v>456.76</v>
      </c>
      <c r="S803">
        <v>9</v>
      </c>
      <c r="T803">
        <v>0</v>
      </c>
      <c r="U803">
        <v>110.53</v>
      </c>
    </row>
    <row r="804" spans="1:21" x14ac:dyDescent="0.35">
      <c r="A804" t="s">
        <v>3924</v>
      </c>
      <c r="B804" s="2">
        <v>43796</v>
      </c>
      <c r="C804" s="2" t="str">
        <f t="shared" si="24"/>
        <v>November</v>
      </c>
      <c r="D804" s="2" t="str">
        <f t="shared" si="25"/>
        <v>2019</v>
      </c>
      <c r="E804" s="2">
        <v>43628</v>
      </c>
      <c r="F804" t="s">
        <v>62</v>
      </c>
      <c r="G804" t="s">
        <v>3925</v>
      </c>
      <c r="H804" t="s">
        <v>3926</v>
      </c>
      <c r="I804" t="s">
        <v>55</v>
      </c>
      <c r="J804" t="s">
        <v>24</v>
      </c>
      <c r="K804" t="s">
        <v>25</v>
      </c>
      <c r="L804" t="s">
        <v>56</v>
      </c>
      <c r="M804" t="s">
        <v>27</v>
      </c>
      <c r="N804" t="s">
        <v>3927</v>
      </c>
      <c r="O804" t="s">
        <v>48</v>
      </c>
      <c r="P804" t="s">
        <v>76</v>
      </c>
      <c r="Q804" t="s">
        <v>3928</v>
      </c>
      <c r="R804">
        <v>1586.34</v>
      </c>
      <c r="S804">
        <v>6</v>
      </c>
      <c r="T804">
        <v>0</v>
      </c>
      <c r="U804">
        <v>441.45</v>
      </c>
    </row>
    <row r="805" spans="1:21" x14ac:dyDescent="0.35">
      <c r="A805" t="s">
        <v>3929</v>
      </c>
      <c r="B805" s="2">
        <v>43412</v>
      </c>
      <c r="C805" s="2" t="str">
        <f t="shared" si="24"/>
        <v>November</v>
      </c>
      <c r="D805" s="2" t="str">
        <f t="shared" si="25"/>
        <v>2018</v>
      </c>
      <c r="E805" s="2" t="s">
        <v>6347</v>
      </c>
      <c r="F805" t="s">
        <v>20</v>
      </c>
      <c r="G805" t="s">
        <v>3930</v>
      </c>
      <c r="H805" t="s">
        <v>3931</v>
      </c>
      <c r="I805" t="s">
        <v>23</v>
      </c>
      <c r="J805" t="s">
        <v>24</v>
      </c>
      <c r="K805" t="s">
        <v>103</v>
      </c>
      <c r="L805" t="s">
        <v>82</v>
      </c>
      <c r="M805" t="s">
        <v>27</v>
      </c>
      <c r="N805" t="s">
        <v>3932</v>
      </c>
      <c r="O805" t="s">
        <v>48</v>
      </c>
      <c r="P805" t="s">
        <v>59</v>
      </c>
      <c r="Q805" t="s">
        <v>3933</v>
      </c>
      <c r="R805">
        <v>347.27</v>
      </c>
      <c r="S805">
        <v>5</v>
      </c>
      <c r="T805">
        <v>0</v>
      </c>
      <c r="U805">
        <v>45</v>
      </c>
    </row>
    <row r="806" spans="1:21" x14ac:dyDescent="0.35">
      <c r="A806" t="s">
        <v>3934</v>
      </c>
      <c r="B806" s="2">
        <v>43583</v>
      </c>
      <c r="C806" s="2" t="str">
        <f t="shared" si="24"/>
        <v>April</v>
      </c>
      <c r="D806" s="2" t="str">
        <f t="shared" si="25"/>
        <v>2019</v>
      </c>
      <c r="E806" s="2">
        <v>43529</v>
      </c>
      <c r="F806" t="s">
        <v>20</v>
      </c>
      <c r="G806" t="s">
        <v>3935</v>
      </c>
      <c r="H806" t="s">
        <v>1330</v>
      </c>
      <c r="I806" t="s">
        <v>35</v>
      </c>
      <c r="J806" t="s">
        <v>24</v>
      </c>
      <c r="K806" t="s">
        <v>133</v>
      </c>
      <c r="L806" t="s">
        <v>56</v>
      </c>
      <c r="M806" t="s">
        <v>57</v>
      </c>
      <c r="N806" t="s">
        <v>3936</v>
      </c>
      <c r="O806" t="s">
        <v>48</v>
      </c>
      <c r="P806" t="s">
        <v>128</v>
      </c>
      <c r="Q806" t="s">
        <v>2857</v>
      </c>
      <c r="R806">
        <v>472.6</v>
      </c>
      <c r="S806">
        <v>7</v>
      </c>
      <c r="T806">
        <v>0.1</v>
      </c>
      <c r="U806">
        <v>186.53</v>
      </c>
    </row>
    <row r="807" spans="1:21" x14ac:dyDescent="0.35">
      <c r="A807" t="s">
        <v>3937</v>
      </c>
      <c r="B807" s="2">
        <v>43444</v>
      </c>
      <c r="C807" s="2" t="str">
        <f t="shared" si="24"/>
        <v>December</v>
      </c>
      <c r="D807" s="2" t="str">
        <f t="shared" si="25"/>
        <v>2018</v>
      </c>
      <c r="E807" s="2" t="s">
        <v>6279</v>
      </c>
      <c r="F807" t="s">
        <v>62</v>
      </c>
      <c r="G807" t="s">
        <v>3938</v>
      </c>
      <c r="H807" t="s">
        <v>3939</v>
      </c>
      <c r="I807" t="s">
        <v>55</v>
      </c>
      <c r="J807" t="s">
        <v>24</v>
      </c>
      <c r="K807" t="s">
        <v>212</v>
      </c>
      <c r="L807" t="s">
        <v>26</v>
      </c>
      <c r="M807" t="s">
        <v>57</v>
      </c>
      <c r="N807" t="s">
        <v>3940</v>
      </c>
      <c r="O807" t="s">
        <v>48</v>
      </c>
      <c r="P807" t="s">
        <v>128</v>
      </c>
      <c r="Q807" t="s">
        <v>3941</v>
      </c>
      <c r="R807">
        <v>170.33</v>
      </c>
      <c r="S807">
        <v>10</v>
      </c>
      <c r="T807">
        <v>0</v>
      </c>
      <c r="U807">
        <v>45.06</v>
      </c>
    </row>
    <row r="808" spans="1:21" x14ac:dyDescent="0.35">
      <c r="A808" t="s">
        <v>3942</v>
      </c>
      <c r="B808" s="2">
        <v>43721</v>
      </c>
      <c r="C808" s="2" t="str">
        <f t="shared" si="24"/>
        <v>September</v>
      </c>
      <c r="D808" s="2" t="str">
        <f t="shared" si="25"/>
        <v>2019</v>
      </c>
      <c r="E808" s="2" t="s">
        <v>6007</v>
      </c>
      <c r="F808" t="s">
        <v>42</v>
      </c>
      <c r="G808" t="s">
        <v>3943</v>
      </c>
      <c r="H808" t="s">
        <v>3944</v>
      </c>
      <c r="I808" t="s">
        <v>35</v>
      </c>
      <c r="J808" t="s">
        <v>24</v>
      </c>
      <c r="K808" t="s">
        <v>25</v>
      </c>
      <c r="L808" t="s">
        <v>36</v>
      </c>
      <c r="M808" t="s">
        <v>83</v>
      </c>
      <c r="N808" t="s">
        <v>3945</v>
      </c>
      <c r="O808" t="s">
        <v>48</v>
      </c>
      <c r="P808" t="s">
        <v>128</v>
      </c>
      <c r="Q808" t="s">
        <v>3946</v>
      </c>
      <c r="R808">
        <v>367.16</v>
      </c>
      <c r="S808">
        <v>4</v>
      </c>
      <c r="T808">
        <v>0.3</v>
      </c>
      <c r="U808">
        <v>6.73</v>
      </c>
    </row>
    <row r="809" spans="1:21" x14ac:dyDescent="0.35">
      <c r="A809" t="s">
        <v>3947</v>
      </c>
      <c r="B809" s="2">
        <v>43797</v>
      </c>
      <c r="C809" s="2" t="str">
        <f t="shared" si="24"/>
        <v>November</v>
      </c>
      <c r="D809" s="2" t="str">
        <f t="shared" si="25"/>
        <v>2019</v>
      </c>
      <c r="E809" s="2">
        <v>43508</v>
      </c>
      <c r="F809" t="s">
        <v>62</v>
      </c>
      <c r="G809" t="s">
        <v>3948</v>
      </c>
      <c r="H809" t="s">
        <v>3949</v>
      </c>
      <c r="I809" t="s">
        <v>35</v>
      </c>
      <c r="J809" t="s">
        <v>24</v>
      </c>
      <c r="K809" t="s">
        <v>97</v>
      </c>
      <c r="L809" t="s">
        <v>36</v>
      </c>
      <c r="M809" t="s">
        <v>83</v>
      </c>
      <c r="N809" t="s">
        <v>3950</v>
      </c>
      <c r="O809" t="s">
        <v>29</v>
      </c>
      <c r="P809" t="s">
        <v>39</v>
      </c>
      <c r="Q809" t="s">
        <v>3951</v>
      </c>
      <c r="R809">
        <v>945.4</v>
      </c>
      <c r="S809">
        <v>7</v>
      </c>
      <c r="T809">
        <v>0.3</v>
      </c>
      <c r="U809">
        <v>449.91</v>
      </c>
    </row>
    <row r="810" spans="1:21" x14ac:dyDescent="0.35">
      <c r="A810" t="s">
        <v>3952</v>
      </c>
      <c r="B810" s="2">
        <v>43769</v>
      </c>
      <c r="C810" s="2" t="str">
        <f t="shared" si="24"/>
        <v>October</v>
      </c>
      <c r="D810" s="2" t="str">
        <f t="shared" si="25"/>
        <v>2019</v>
      </c>
      <c r="E810" s="2">
        <v>43476</v>
      </c>
      <c r="F810" t="s">
        <v>52</v>
      </c>
      <c r="G810" t="s">
        <v>3953</v>
      </c>
      <c r="H810" t="s">
        <v>3954</v>
      </c>
      <c r="I810" t="s">
        <v>35</v>
      </c>
      <c r="J810" t="s">
        <v>24</v>
      </c>
      <c r="K810" t="s">
        <v>89</v>
      </c>
      <c r="L810" t="s">
        <v>26</v>
      </c>
      <c r="M810" t="s">
        <v>83</v>
      </c>
      <c r="N810" t="s">
        <v>3955</v>
      </c>
      <c r="O810" t="s">
        <v>29</v>
      </c>
      <c r="P810" t="s">
        <v>30</v>
      </c>
      <c r="Q810" t="s">
        <v>593</v>
      </c>
      <c r="R810">
        <v>558.72</v>
      </c>
      <c r="S810">
        <v>4</v>
      </c>
      <c r="T810">
        <v>0</v>
      </c>
      <c r="U810">
        <v>187.28</v>
      </c>
    </row>
    <row r="811" spans="1:21" x14ac:dyDescent="0.35">
      <c r="A811" t="s">
        <v>3956</v>
      </c>
      <c r="B811" s="2">
        <v>43773</v>
      </c>
      <c r="C811" s="2" t="str">
        <f t="shared" si="24"/>
        <v>November</v>
      </c>
      <c r="D811" s="2" t="str">
        <f t="shared" si="25"/>
        <v>2019</v>
      </c>
      <c r="E811" s="2">
        <v>43657</v>
      </c>
      <c r="F811" t="s">
        <v>62</v>
      </c>
      <c r="G811" t="s">
        <v>3957</v>
      </c>
      <c r="H811" t="s">
        <v>3958</v>
      </c>
      <c r="I811" t="s">
        <v>35</v>
      </c>
      <c r="J811" t="s">
        <v>24</v>
      </c>
      <c r="K811" t="s">
        <v>212</v>
      </c>
      <c r="L811" t="s">
        <v>170</v>
      </c>
      <c r="M811" t="s">
        <v>83</v>
      </c>
      <c r="N811" t="s">
        <v>3959</v>
      </c>
      <c r="O811" t="s">
        <v>48</v>
      </c>
      <c r="P811" t="s">
        <v>49</v>
      </c>
      <c r="Q811" t="s">
        <v>3960</v>
      </c>
      <c r="R811">
        <v>404</v>
      </c>
      <c r="S811">
        <v>6</v>
      </c>
      <c r="T811">
        <v>0</v>
      </c>
      <c r="U811">
        <v>-78.09</v>
      </c>
    </row>
    <row r="812" spans="1:21" x14ac:dyDescent="0.35">
      <c r="A812" t="s">
        <v>3961</v>
      </c>
      <c r="B812" s="2">
        <v>42539</v>
      </c>
      <c r="C812" s="2" t="str">
        <f t="shared" si="24"/>
        <v>June</v>
      </c>
      <c r="D812" s="2" t="str">
        <f t="shared" si="25"/>
        <v>2016</v>
      </c>
      <c r="E812" s="2" t="s">
        <v>6222</v>
      </c>
      <c r="F812" t="s">
        <v>20</v>
      </c>
      <c r="G812" t="s">
        <v>3962</v>
      </c>
      <c r="H812" t="s">
        <v>1607</v>
      </c>
      <c r="I812" t="s">
        <v>55</v>
      </c>
      <c r="J812" t="s">
        <v>24</v>
      </c>
      <c r="K812" t="s">
        <v>81</v>
      </c>
      <c r="L812" t="s">
        <v>36</v>
      </c>
      <c r="M812" t="s">
        <v>27</v>
      </c>
      <c r="N812" t="s">
        <v>3963</v>
      </c>
      <c r="O812" t="s">
        <v>48</v>
      </c>
      <c r="P812" t="s">
        <v>76</v>
      </c>
      <c r="Q812" t="s">
        <v>3964</v>
      </c>
      <c r="R812">
        <v>1095.03</v>
      </c>
      <c r="S812">
        <v>3</v>
      </c>
      <c r="T812">
        <v>0.1</v>
      </c>
      <c r="U812">
        <v>73.540000000000006</v>
      </c>
    </row>
    <row r="813" spans="1:21" x14ac:dyDescent="0.35">
      <c r="A813" t="s">
        <v>3965</v>
      </c>
      <c r="B813" s="2">
        <v>43114</v>
      </c>
      <c r="C813" s="2" t="str">
        <f t="shared" si="24"/>
        <v>January</v>
      </c>
      <c r="D813" s="2" t="str">
        <f t="shared" si="25"/>
        <v>2018</v>
      </c>
      <c r="E813" s="2" t="s">
        <v>6063</v>
      </c>
      <c r="F813" t="s">
        <v>62</v>
      </c>
      <c r="G813" t="s">
        <v>3966</v>
      </c>
      <c r="H813" t="s">
        <v>3967</v>
      </c>
      <c r="I813" t="s">
        <v>35</v>
      </c>
      <c r="J813" t="s">
        <v>24</v>
      </c>
      <c r="K813" t="s">
        <v>25</v>
      </c>
      <c r="L813" t="s">
        <v>65</v>
      </c>
      <c r="M813" t="s">
        <v>74</v>
      </c>
      <c r="N813" t="s">
        <v>3968</v>
      </c>
      <c r="O813" t="s">
        <v>67</v>
      </c>
      <c r="P813" t="s">
        <v>68</v>
      </c>
      <c r="Q813" t="s">
        <v>3969</v>
      </c>
      <c r="R813">
        <v>1086</v>
      </c>
      <c r="S813">
        <v>4</v>
      </c>
      <c r="T813">
        <v>0.4</v>
      </c>
      <c r="U813">
        <v>457.87</v>
      </c>
    </row>
    <row r="814" spans="1:21" x14ac:dyDescent="0.35">
      <c r="A814" t="s">
        <v>3970</v>
      </c>
      <c r="B814" s="2">
        <v>43528</v>
      </c>
      <c r="C814" s="2" t="str">
        <f t="shared" si="24"/>
        <v>March</v>
      </c>
      <c r="D814" s="2" t="str">
        <f t="shared" si="25"/>
        <v>2019</v>
      </c>
      <c r="E814" s="2">
        <v>43649</v>
      </c>
      <c r="F814" t="s">
        <v>42</v>
      </c>
      <c r="G814" t="s">
        <v>3971</v>
      </c>
      <c r="H814" t="s">
        <v>3972</v>
      </c>
      <c r="I814" t="s">
        <v>35</v>
      </c>
      <c r="J814" t="s">
        <v>24</v>
      </c>
      <c r="K814" t="s">
        <v>89</v>
      </c>
      <c r="L814" t="s">
        <v>37</v>
      </c>
      <c r="M814" t="s">
        <v>27</v>
      </c>
      <c r="N814" t="s">
        <v>3973</v>
      </c>
      <c r="O814" t="s">
        <v>48</v>
      </c>
      <c r="P814" t="s">
        <v>49</v>
      </c>
      <c r="Q814" t="s">
        <v>3974</v>
      </c>
      <c r="R814">
        <v>779.49</v>
      </c>
      <c r="S814">
        <v>3</v>
      </c>
      <c r="T814">
        <v>0.3</v>
      </c>
      <c r="U814">
        <v>122.97</v>
      </c>
    </row>
    <row r="815" spans="1:21" x14ac:dyDescent="0.35">
      <c r="A815" t="s">
        <v>3975</v>
      </c>
      <c r="B815" s="2">
        <v>43084</v>
      </c>
      <c r="C815" s="2" t="str">
        <f t="shared" si="24"/>
        <v>December</v>
      </c>
      <c r="D815" s="2" t="str">
        <f t="shared" si="25"/>
        <v>2017</v>
      </c>
      <c r="E815" s="2" t="s">
        <v>6348</v>
      </c>
      <c r="F815" t="s">
        <v>52</v>
      </c>
      <c r="G815" t="s">
        <v>3976</v>
      </c>
      <c r="H815" t="s">
        <v>3977</v>
      </c>
      <c r="I815" t="s">
        <v>23</v>
      </c>
      <c r="J815" t="s">
        <v>24</v>
      </c>
      <c r="K815" t="s">
        <v>45</v>
      </c>
      <c r="L815" t="s">
        <v>90</v>
      </c>
      <c r="M815" t="s">
        <v>57</v>
      </c>
      <c r="N815" t="s">
        <v>3978</v>
      </c>
      <c r="O815" t="s">
        <v>29</v>
      </c>
      <c r="P815" t="s">
        <v>39</v>
      </c>
      <c r="Q815" t="s">
        <v>3979</v>
      </c>
      <c r="R815">
        <v>846.12</v>
      </c>
      <c r="S815">
        <v>1</v>
      </c>
      <c r="T815">
        <v>0.3</v>
      </c>
      <c r="U815">
        <v>296.57</v>
      </c>
    </row>
    <row r="816" spans="1:21" x14ac:dyDescent="0.35">
      <c r="A816" t="s">
        <v>3980</v>
      </c>
      <c r="B816" s="2">
        <v>43492</v>
      </c>
      <c r="C816" s="2" t="str">
        <f t="shared" si="24"/>
        <v>January</v>
      </c>
      <c r="D816" s="2" t="str">
        <f t="shared" si="25"/>
        <v>2019</v>
      </c>
      <c r="E816" s="2" t="s">
        <v>5956</v>
      </c>
      <c r="F816" t="s">
        <v>42</v>
      </c>
      <c r="G816" t="s">
        <v>3981</v>
      </c>
      <c r="H816" t="s">
        <v>1028</v>
      </c>
      <c r="I816" t="s">
        <v>23</v>
      </c>
      <c r="J816" t="s">
        <v>24</v>
      </c>
      <c r="K816" t="s">
        <v>133</v>
      </c>
      <c r="L816" t="s">
        <v>82</v>
      </c>
      <c r="M816" t="s">
        <v>27</v>
      </c>
      <c r="N816" t="s">
        <v>3982</v>
      </c>
      <c r="O816" t="s">
        <v>67</v>
      </c>
      <c r="P816" t="s">
        <v>197</v>
      </c>
      <c r="Q816" t="s">
        <v>3983</v>
      </c>
      <c r="R816">
        <v>138.12</v>
      </c>
      <c r="S816">
        <v>4</v>
      </c>
      <c r="T816">
        <v>0.4</v>
      </c>
      <c r="U816">
        <v>16.11</v>
      </c>
    </row>
    <row r="817" spans="1:21" x14ac:dyDescent="0.35">
      <c r="A817" t="s">
        <v>3984</v>
      </c>
      <c r="B817" s="2">
        <v>42719</v>
      </c>
      <c r="C817" s="2" t="str">
        <f t="shared" si="24"/>
        <v>December</v>
      </c>
      <c r="D817" s="2" t="str">
        <f t="shared" si="25"/>
        <v>2016</v>
      </c>
      <c r="E817" s="2" t="s">
        <v>6132</v>
      </c>
      <c r="F817" t="s">
        <v>62</v>
      </c>
      <c r="G817" t="s">
        <v>3985</v>
      </c>
      <c r="H817" t="s">
        <v>3986</v>
      </c>
      <c r="I817" t="s">
        <v>23</v>
      </c>
      <c r="J817" t="s">
        <v>24</v>
      </c>
      <c r="K817" t="s">
        <v>212</v>
      </c>
      <c r="L817" t="s">
        <v>65</v>
      </c>
      <c r="M817" t="s">
        <v>74</v>
      </c>
      <c r="N817" t="s">
        <v>3987</v>
      </c>
      <c r="O817" t="s">
        <v>67</v>
      </c>
      <c r="P817" t="s">
        <v>92</v>
      </c>
      <c r="Q817" t="s">
        <v>3988</v>
      </c>
      <c r="R817">
        <v>167.02</v>
      </c>
      <c r="S817">
        <v>9</v>
      </c>
      <c r="T817">
        <v>0</v>
      </c>
      <c r="U817">
        <v>38.36</v>
      </c>
    </row>
    <row r="818" spans="1:21" x14ac:dyDescent="0.35">
      <c r="A818" t="s">
        <v>3989</v>
      </c>
      <c r="B818" s="2">
        <v>42664</v>
      </c>
      <c r="C818" s="2" t="str">
        <f t="shared" si="24"/>
        <v>October</v>
      </c>
      <c r="D818" s="2" t="str">
        <f t="shared" si="25"/>
        <v>2016</v>
      </c>
      <c r="E818" s="2" t="s">
        <v>5957</v>
      </c>
      <c r="F818" t="s">
        <v>62</v>
      </c>
      <c r="G818" t="s">
        <v>3990</v>
      </c>
      <c r="H818" t="s">
        <v>3991</v>
      </c>
      <c r="I818" t="s">
        <v>23</v>
      </c>
      <c r="J818" t="s">
        <v>24</v>
      </c>
      <c r="K818" t="s">
        <v>73</v>
      </c>
      <c r="L818" t="s">
        <v>65</v>
      </c>
      <c r="M818" t="s">
        <v>27</v>
      </c>
      <c r="N818" t="s">
        <v>3992</v>
      </c>
      <c r="O818" t="s">
        <v>29</v>
      </c>
      <c r="P818" t="s">
        <v>155</v>
      </c>
      <c r="Q818" t="s">
        <v>1095</v>
      </c>
      <c r="R818">
        <v>681.57</v>
      </c>
      <c r="S818">
        <v>10</v>
      </c>
      <c r="T818">
        <v>0.1</v>
      </c>
      <c r="U818">
        <v>3</v>
      </c>
    </row>
    <row r="819" spans="1:21" x14ac:dyDescent="0.35">
      <c r="A819" t="s">
        <v>3993</v>
      </c>
      <c r="B819" s="2">
        <v>43665</v>
      </c>
      <c r="C819" s="2" t="str">
        <f t="shared" si="24"/>
        <v>July</v>
      </c>
      <c r="D819" s="2" t="str">
        <f t="shared" si="25"/>
        <v>2019</v>
      </c>
      <c r="E819" s="2" t="s">
        <v>6012</v>
      </c>
      <c r="F819" t="s">
        <v>20</v>
      </c>
      <c r="G819" t="s">
        <v>3994</v>
      </c>
      <c r="H819" t="s">
        <v>3995</v>
      </c>
      <c r="I819" t="s">
        <v>23</v>
      </c>
      <c r="J819" t="s">
        <v>24</v>
      </c>
      <c r="K819" t="s">
        <v>81</v>
      </c>
      <c r="L819" t="s">
        <v>115</v>
      </c>
      <c r="M819" t="s">
        <v>57</v>
      </c>
      <c r="N819" t="s">
        <v>3996</v>
      </c>
      <c r="O819" t="s">
        <v>48</v>
      </c>
      <c r="P819" t="s">
        <v>76</v>
      </c>
      <c r="Q819" t="s">
        <v>3997</v>
      </c>
      <c r="R819">
        <v>1169.7</v>
      </c>
      <c r="S819">
        <v>7</v>
      </c>
      <c r="T819">
        <v>0</v>
      </c>
      <c r="U819">
        <v>-143.32</v>
      </c>
    </row>
    <row r="820" spans="1:21" x14ac:dyDescent="0.35">
      <c r="A820" t="s">
        <v>3998</v>
      </c>
      <c r="B820" s="2">
        <v>43589</v>
      </c>
      <c r="C820" s="2" t="str">
        <f t="shared" si="24"/>
        <v>May</v>
      </c>
      <c r="D820" s="2" t="str">
        <f t="shared" si="25"/>
        <v>2019</v>
      </c>
      <c r="E820" s="2">
        <v>43651</v>
      </c>
      <c r="F820" t="s">
        <v>52</v>
      </c>
      <c r="G820" t="s">
        <v>3999</v>
      </c>
      <c r="H820" t="s">
        <v>4000</v>
      </c>
      <c r="I820" t="s">
        <v>23</v>
      </c>
      <c r="J820" t="s">
        <v>24</v>
      </c>
      <c r="K820" t="s">
        <v>212</v>
      </c>
      <c r="L820" t="s">
        <v>82</v>
      </c>
      <c r="M820" t="s">
        <v>27</v>
      </c>
      <c r="N820" t="s">
        <v>4001</v>
      </c>
      <c r="O820" t="s">
        <v>67</v>
      </c>
      <c r="P820" t="s">
        <v>197</v>
      </c>
      <c r="Q820" t="s">
        <v>4002</v>
      </c>
      <c r="R820">
        <v>612.1</v>
      </c>
      <c r="S820">
        <v>5</v>
      </c>
      <c r="T820">
        <v>0.3</v>
      </c>
      <c r="U820">
        <v>46.17</v>
      </c>
    </row>
    <row r="821" spans="1:21" x14ac:dyDescent="0.35">
      <c r="A821" t="s">
        <v>4003</v>
      </c>
      <c r="B821" s="2">
        <v>43267</v>
      </c>
      <c r="C821" s="2" t="str">
        <f t="shared" si="24"/>
        <v>June</v>
      </c>
      <c r="D821" s="2" t="str">
        <f t="shared" si="25"/>
        <v>2018</v>
      </c>
      <c r="E821" s="2" t="s">
        <v>5975</v>
      </c>
      <c r="F821" t="s">
        <v>20</v>
      </c>
      <c r="G821" t="s">
        <v>4004</v>
      </c>
      <c r="H821" t="s">
        <v>4005</v>
      </c>
      <c r="I821" t="s">
        <v>35</v>
      </c>
      <c r="J821" t="s">
        <v>24</v>
      </c>
      <c r="K821" t="s">
        <v>89</v>
      </c>
      <c r="L821" t="s">
        <v>26</v>
      </c>
      <c r="M821" t="s">
        <v>57</v>
      </c>
      <c r="N821" t="s">
        <v>4006</v>
      </c>
      <c r="O821" t="s">
        <v>48</v>
      </c>
      <c r="P821" t="s">
        <v>59</v>
      </c>
      <c r="Q821" t="s">
        <v>4007</v>
      </c>
      <c r="R821">
        <v>1120.22</v>
      </c>
      <c r="S821">
        <v>6</v>
      </c>
      <c r="T821">
        <v>0</v>
      </c>
      <c r="U821">
        <v>-135.13999999999999</v>
      </c>
    </row>
    <row r="822" spans="1:21" x14ac:dyDescent="0.35">
      <c r="A822" t="s">
        <v>4008</v>
      </c>
      <c r="B822" s="2">
        <v>42887</v>
      </c>
      <c r="C822" s="2" t="str">
        <f t="shared" si="24"/>
        <v>June</v>
      </c>
      <c r="D822" s="2" t="str">
        <f t="shared" si="25"/>
        <v>2017</v>
      </c>
      <c r="E822" s="2">
        <v>42922</v>
      </c>
      <c r="F822" t="s">
        <v>20</v>
      </c>
      <c r="G822" t="s">
        <v>4009</v>
      </c>
      <c r="H822" t="s">
        <v>4010</v>
      </c>
      <c r="I822" t="s">
        <v>35</v>
      </c>
      <c r="J822" t="s">
        <v>24</v>
      </c>
      <c r="K822" t="s">
        <v>133</v>
      </c>
      <c r="L822" t="s">
        <v>82</v>
      </c>
      <c r="M822" t="s">
        <v>57</v>
      </c>
      <c r="N822" t="s">
        <v>4011</v>
      </c>
      <c r="O822" t="s">
        <v>67</v>
      </c>
      <c r="P822" t="s">
        <v>197</v>
      </c>
      <c r="Q822" t="s">
        <v>4012</v>
      </c>
      <c r="R822">
        <v>1523.11</v>
      </c>
      <c r="S822">
        <v>2</v>
      </c>
      <c r="T822">
        <v>0.4</v>
      </c>
      <c r="U822">
        <v>755.87</v>
      </c>
    </row>
    <row r="823" spans="1:21" x14ac:dyDescent="0.35">
      <c r="A823" t="s">
        <v>4013</v>
      </c>
      <c r="B823" s="2">
        <v>42994</v>
      </c>
      <c r="C823" s="2" t="str">
        <f t="shared" si="24"/>
        <v>September</v>
      </c>
      <c r="D823" s="2" t="str">
        <f t="shared" si="25"/>
        <v>2017</v>
      </c>
      <c r="E823" s="2" t="s">
        <v>6349</v>
      </c>
      <c r="F823" t="s">
        <v>42</v>
      </c>
      <c r="G823" t="s">
        <v>4014</v>
      </c>
      <c r="H823" t="s">
        <v>979</v>
      </c>
      <c r="I823" t="s">
        <v>55</v>
      </c>
      <c r="J823" t="s">
        <v>24</v>
      </c>
      <c r="K823" t="s">
        <v>36</v>
      </c>
      <c r="L823" t="s">
        <v>82</v>
      </c>
      <c r="M823" t="s">
        <v>57</v>
      </c>
      <c r="N823" t="s">
        <v>4015</v>
      </c>
      <c r="O823" t="s">
        <v>67</v>
      </c>
      <c r="P823" t="s">
        <v>68</v>
      </c>
      <c r="Q823" t="s">
        <v>828</v>
      </c>
      <c r="R823">
        <v>1445.67</v>
      </c>
      <c r="S823">
        <v>6</v>
      </c>
      <c r="T823">
        <v>0.2</v>
      </c>
      <c r="U823">
        <v>419.38</v>
      </c>
    </row>
    <row r="824" spans="1:21" x14ac:dyDescent="0.35">
      <c r="A824" t="s">
        <v>4016</v>
      </c>
      <c r="B824" s="2">
        <v>43246</v>
      </c>
      <c r="C824" s="2" t="str">
        <f t="shared" si="24"/>
        <v>May</v>
      </c>
      <c r="D824" s="2" t="str">
        <f t="shared" si="25"/>
        <v>2018</v>
      </c>
      <c r="E824" s="2" t="s">
        <v>5999</v>
      </c>
      <c r="F824" t="s">
        <v>62</v>
      </c>
      <c r="G824" t="s">
        <v>4017</v>
      </c>
      <c r="H824" t="s">
        <v>4018</v>
      </c>
      <c r="I824" t="s">
        <v>23</v>
      </c>
      <c r="J824" t="s">
        <v>24</v>
      </c>
      <c r="K824" t="s">
        <v>103</v>
      </c>
      <c r="L824" t="s">
        <v>37</v>
      </c>
      <c r="M824" t="s">
        <v>27</v>
      </c>
      <c r="N824" t="s">
        <v>4019</v>
      </c>
      <c r="O824" t="s">
        <v>29</v>
      </c>
      <c r="P824" t="s">
        <v>30</v>
      </c>
      <c r="Q824" t="s">
        <v>4020</v>
      </c>
      <c r="R824">
        <v>313.05</v>
      </c>
      <c r="S824">
        <v>6</v>
      </c>
      <c r="T824">
        <v>0.2</v>
      </c>
      <c r="U824">
        <v>122.07</v>
      </c>
    </row>
    <row r="825" spans="1:21" x14ac:dyDescent="0.35">
      <c r="A825" t="s">
        <v>4021</v>
      </c>
      <c r="B825" s="2">
        <v>42778</v>
      </c>
      <c r="C825" s="2" t="str">
        <f t="shared" si="24"/>
        <v>February</v>
      </c>
      <c r="D825" s="2" t="str">
        <f t="shared" si="25"/>
        <v>2017</v>
      </c>
      <c r="E825" s="2" t="s">
        <v>6166</v>
      </c>
      <c r="F825" t="s">
        <v>62</v>
      </c>
      <c r="G825" t="s">
        <v>4022</v>
      </c>
      <c r="H825" t="s">
        <v>4023</v>
      </c>
      <c r="I825" t="s">
        <v>55</v>
      </c>
      <c r="J825" t="s">
        <v>24</v>
      </c>
      <c r="K825" t="s">
        <v>97</v>
      </c>
      <c r="L825" t="s">
        <v>170</v>
      </c>
      <c r="M825" t="s">
        <v>27</v>
      </c>
      <c r="N825" t="s">
        <v>4024</v>
      </c>
      <c r="O825" t="s">
        <v>48</v>
      </c>
      <c r="P825" t="s">
        <v>59</v>
      </c>
      <c r="Q825" t="s">
        <v>2231</v>
      </c>
      <c r="R825">
        <v>579.62</v>
      </c>
      <c r="S825">
        <v>10</v>
      </c>
      <c r="T825">
        <v>0</v>
      </c>
      <c r="U825">
        <v>81.709999999999994</v>
      </c>
    </row>
    <row r="826" spans="1:21" x14ac:dyDescent="0.35">
      <c r="A826" t="s">
        <v>4025</v>
      </c>
      <c r="B826" s="2">
        <v>43165</v>
      </c>
      <c r="C826" s="2" t="str">
        <f t="shared" si="24"/>
        <v>March</v>
      </c>
      <c r="D826" s="2" t="str">
        <f t="shared" si="25"/>
        <v>2018</v>
      </c>
      <c r="E826" s="2">
        <v>43437</v>
      </c>
      <c r="F826" t="s">
        <v>20</v>
      </c>
      <c r="G826" t="s">
        <v>4026</v>
      </c>
      <c r="H826" t="s">
        <v>4027</v>
      </c>
      <c r="I826" t="s">
        <v>23</v>
      </c>
      <c r="J826" t="s">
        <v>24</v>
      </c>
      <c r="K826" t="s">
        <v>73</v>
      </c>
      <c r="L826" t="s">
        <v>26</v>
      </c>
      <c r="M826" t="s">
        <v>83</v>
      </c>
      <c r="N826" t="s">
        <v>4028</v>
      </c>
      <c r="O826" t="s">
        <v>29</v>
      </c>
      <c r="P826" t="s">
        <v>110</v>
      </c>
      <c r="Q826" t="s">
        <v>4029</v>
      </c>
      <c r="R826">
        <v>1441.82</v>
      </c>
      <c r="S826">
        <v>9</v>
      </c>
      <c r="T826">
        <v>0.2</v>
      </c>
      <c r="U826">
        <v>462.89</v>
      </c>
    </row>
    <row r="827" spans="1:21" x14ac:dyDescent="0.35">
      <c r="A827" t="s">
        <v>4030</v>
      </c>
      <c r="B827" s="2">
        <v>43409</v>
      </c>
      <c r="C827" s="2" t="str">
        <f t="shared" si="24"/>
        <v>November</v>
      </c>
      <c r="D827" s="2" t="str">
        <f t="shared" si="25"/>
        <v>2018</v>
      </c>
      <c r="E827" s="2" t="s">
        <v>6350</v>
      </c>
      <c r="F827" t="s">
        <v>20</v>
      </c>
      <c r="G827" t="s">
        <v>4031</v>
      </c>
      <c r="H827" t="s">
        <v>1910</v>
      </c>
      <c r="I827" t="s">
        <v>35</v>
      </c>
      <c r="J827" t="s">
        <v>24</v>
      </c>
      <c r="K827" t="s">
        <v>89</v>
      </c>
      <c r="L827" t="s">
        <v>36</v>
      </c>
      <c r="M827" t="s">
        <v>74</v>
      </c>
      <c r="N827" t="s">
        <v>4032</v>
      </c>
      <c r="O827" t="s">
        <v>48</v>
      </c>
      <c r="P827" t="s">
        <v>49</v>
      </c>
      <c r="Q827" t="s">
        <v>4033</v>
      </c>
      <c r="R827">
        <v>352.55</v>
      </c>
      <c r="S827">
        <v>10</v>
      </c>
      <c r="T827">
        <v>0.3</v>
      </c>
      <c r="U827">
        <v>-47.21</v>
      </c>
    </row>
    <row r="828" spans="1:21" x14ac:dyDescent="0.35">
      <c r="A828" t="s">
        <v>4034</v>
      </c>
      <c r="B828" s="2">
        <v>43749</v>
      </c>
      <c r="C828" s="2" t="str">
        <f t="shared" si="24"/>
        <v>October</v>
      </c>
      <c r="D828" s="2" t="str">
        <f t="shared" si="25"/>
        <v>2019</v>
      </c>
      <c r="E828" s="2" t="s">
        <v>6351</v>
      </c>
      <c r="F828" t="s">
        <v>42</v>
      </c>
      <c r="G828" t="s">
        <v>4035</v>
      </c>
      <c r="H828" t="s">
        <v>4036</v>
      </c>
      <c r="I828" t="s">
        <v>23</v>
      </c>
      <c r="J828" t="s">
        <v>24</v>
      </c>
      <c r="K828" t="s">
        <v>103</v>
      </c>
      <c r="L828" t="s">
        <v>26</v>
      </c>
      <c r="M828" t="s">
        <v>74</v>
      </c>
      <c r="N828" t="s">
        <v>4037</v>
      </c>
      <c r="O828" t="s">
        <v>29</v>
      </c>
      <c r="P828" t="s">
        <v>39</v>
      </c>
      <c r="Q828" t="s">
        <v>4038</v>
      </c>
      <c r="R828">
        <v>233.1</v>
      </c>
      <c r="S828">
        <v>10</v>
      </c>
      <c r="T828">
        <v>0.4</v>
      </c>
      <c r="U828">
        <v>79.41</v>
      </c>
    </row>
    <row r="829" spans="1:21" x14ac:dyDescent="0.35">
      <c r="A829" t="s">
        <v>4039</v>
      </c>
      <c r="B829" s="2">
        <v>43062</v>
      </c>
      <c r="C829" s="2" t="str">
        <f t="shared" si="24"/>
        <v>November</v>
      </c>
      <c r="D829" s="2" t="str">
        <f t="shared" si="25"/>
        <v>2017</v>
      </c>
      <c r="E829" s="2" t="s">
        <v>6034</v>
      </c>
      <c r="F829" t="s">
        <v>42</v>
      </c>
      <c r="G829" t="s">
        <v>4040</v>
      </c>
      <c r="H829" t="s">
        <v>4041</v>
      </c>
      <c r="I829" t="s">
        <v>23</v>
      </c>
      <c r="J829" t="s">
        <v>24</v>
      </c>
      <c r="K829" t="s">
        <v>25</v>
      </c>
      <c r="L829" t="s">
        <v>115</v>
      </c>
      <c r="M829" t="s">
        <v>57</v>
      </c>
      <c r="N829" t="s">
        <v>4042</v>
      </c>
      <c r="O829" t="s">
        <v>29</v>
      </c>
      <c r="P829" t="s">
        <v>30</v>
      </c>
      <c r="Q829" t="s">
        <v>4043</v>
      </c>
      <c r="R829">
        <v>667.08</v>
      </c>
      <c r="S829">
        <v>3</v>
      </c>
      <c r="T829">
        <v>0</v>
      </c>
      <c r="U829">
        <v>285.91000000000003</v>
      </c>
    </row>
    <row r="830" spans="1:21" x14ac:dyDescent="0.35">
      <c r="A830" t="s">
        <v>4044</v>
      </c>
      <c r="B830" s="2">
        <v>43649</v>
      </c>
      <c r="C830" s="2" t="str">
        <f t="shared" si="24"/>
        <v>July</v>
      </c>
      <c r="D830" s="2" t="str">
        <f t="shared" si="25"/>
        <v>2019</v>
      </c>
      <c r="E830" s="2">
        <v>43806</v>
      </c>
      <c r="F830" t="s">
        <v>20</v>
      </c>
      <c r="G830" t="s">
        <v>4045</v>
      </c>
      <c r="H830" t="s">
        <v>4046</v>
      </c>
      <c r="I830" t="s">
        <v>35</v>
      </c>
      <c r="J830" t="s">
        <v>24</v>
      </c>
      <c r="K830" t="s">
        <v>25</v>
      </c>
      <c r="L830" t="s">
        <v>115</v>
      </c>
      <c r="M830" t="s">
        <v>74</v>
      </c>
      <c r="N830" t="s">
        <v>4047</v>
      </c>
      <c r="O830" t="s">
        <v>29</v>
      </c>
      <c r="P830" t="s">
        <v>110</v>
      </c>
      <c r="Q830" t="s">
        <v>4048</v>
      </c>
      <c r="R830">
        <v>1522.1</v>
      </c>
      <c r="S830">
        <v>8</v>
      </c>
      <c r="T830">
        <v>0.1</v>
      </c>
      <c r="U830">
        <v>-442.66</v>
      </c>
    </row>
    <row r="831" spans="1:21" x14ac:dyDescent="0.35">
      <c r="A831" t="s">
        <v>4049</v>
      </c>
      <c r="B831" s="2">
        <v>42691</v>
      </c>
      <c r="C831" s="2" t="str">
        <f t="shared" si="24"/>
        <v>November</v>
      </c>
      <c r="D831" s="2" t="str">
        <f t="shared" si="25"/>
        <v>2016</v>
      </c>
      <c r="E831" s="2" t="s">
        <v>6304</v>
      </c>
      <c r="F831" t="s">
        <v>20</v>
      </c>
      <c r="G831" t="s">
        <v>4050</v>
      </c>
      <c r="H831" t="s">
        <v>4051</v>
      </c>
      <c r="I831" t="s">
        <v>35</v>
      </c>
      <c r="J831" t="s">
        <v>24</v>
      </c>
      <c r="K831" t="s">
        <v>25</v>
      </c>
      <c r="L831" t="s">
        <v>46</v>
      </c>
      <c r="M831" t="s">
        <v>57</v>
      </c>
      <c r="N831" t="s">
        <v>4052</v>
      </c>
      <c r="O831" t="s">
        <v>67</v>
      </c>
      <c r="P831" t="s">
        <v>92</v>
      </c>
      <c r="Q831" t="s">
        <v>4053</v>
      </c>
      <c r="R831">
        <v>1722.03</v>
      </c>
      <c r="S831">
        <v>10</v>
      </c>
      <c r="T831">
        <v>0.1</v>
      </c>
      <c r="U831">
        <v>-243.83</v>
      </c>
    </row>
    <row r="832" spans="1:21" x14ac:dyDescent="0.35">
      <c r="A832" t="s">
        <v>4054</v>
      </c>
      <c r="B832" s="2">
        <v>43028</v>
      </c>
      <c r="C832" s="2" t="str">
        <f t="shared" si="24"/>
        <v>October</v>
      </c>
      <c r="D832" s="2" t="str">
        <f t="shared" si="25"/>
        <v>2017</v>
      </c>
      <c r="E832" s="2" t="s">
        <v>6191</v>
      </c>
      <c r="F832" t="s">
        <v>20</v>
      </c>
      <c r="G832" t="s">
        <v>4055</v>
      </c>
      <c r="H832" t="s">
        <v>4056</v>
      </c>
      <c r="I832" t="s">
        <v>35</v>
      </c>
      <c r="J832" t="s">
        <v>24</v>
      </c>
      <c r="K832" t="s">
        <v>133</v>
      </c>
      <c r="L832" t="s">
        <v>65</v>
      </c>
      <c r="M832" t="s">
        <v>57</v>
      </c>
      <c r="N832" t="s">
        <v>4057</v>
      </c>
      <c r="O832" t="s">
        <v>48</v>
      </c>
      <c r="P832" t="s">
        <v>76</v>
      </c>
      <c r="Q832" t="s">
        <v>4058</v>
      </c>
      <c r="R832">
        <v>965.7</v>
      </c>
      <c r="S832">
        <v>4</v>
      </c>
      <c r="T832">
        <v>0</v>
      </c>
      <c r="U832">
        <v>-142.07</v>
      </c>
    </row>
    <row r="833" spans="1:21" x14ac:dyDescent="0.35">
      <c r="A833" t="s">
        <v>4059</v>
      </c>
      <c r="B833" s="2">
        <v>42471</v>
      </c>
      <c r="C833" s="2" t="str">
        <f t="shared" si="24"/>
        <v>April</v>
      </c>
      <c r="D833" s="2" t="str">
        <f t="shared" si="25"/>
        <v>2016</v>
      </c>
      <c r="E833" s="2">
        <v>42708</v>
      </c>
      <c r="F833" t="s">
        <v>62</v>
      </c>
      <c r="G833" t="s">
        <v>4060</v>
      </c>
      <c r="H833" t="s">
        <v>4061</v>
      </c>
      <c r="I833" t="s">
        <v>55</v>
      </c>
      <c r="J833" t="s">
        <v>24</v>
      </c>
      <c r="K833" t="s">
        <v>133</v>
      </c>
      <c r="L833" t="s">
        <v>36</v>
      </c>
      <c r="M833" t="s">
        <v>57</v>
      </c>
      <c r="N833" t="s">
        <v>4062</v>
      </c>
      <c r="O833" t="s">
        <v>48</v>
      </c>
      <c r="P833" t="s">
        <v>59</v>
      </c>
      <c r="Q833" t="s">
        <v>4063</v>
      </c>
      <c r="R833">
        <v>1554.44</v>
      </c>
      <c r="S833">
        <v>3</v>
      </c>
      <c r="T833">
        <v>0.1</v>
      </c>
      <c r="U833">
        <v>-372.82</v>
      </c>
    </row>
    <row r="834" spans="1:21" x14ac:dyDescent="0.35">
      <c r="A834" t="s">
        <v>4064</v>
      </c>
      <c r="B834" s="2">
        <v>43697</v>
      </c>
      <c r="C834" s="2" t="str">
        <f t="shared" si="24"/>
        <v>August</v>
      </c>
      <c r="D834" s="2" t="str">
        <f t="shared" si="25"/>
        <v>2019</v>
      </c>
      <c r="E834" s="2" t="s">
        <v>6137</v>
      </c>
      <c r="F834" t="s">
        <v>20</v>
      </c>
      <c r="G834" t="s">
        <v>4065</v>
      </c>
      <c r="H834" t="s">
        <v>4066</v>
      </c>
      <c r="I834" t="s">
        <v>55</v>
      </c>
      <c r="J834" t="s">
        <v>24</v>
      </c>
      <c r="K834" t="s">
        <v>81</v>
      </c>
      <c r="L834" t="s">
        <v>65</v>
      </c>
      <c r="M834" t="s">
        <v>83</v>
      </c>
      <c r="N834" t="s">
        <v>4067</v>
      </c>
      <c r="O834" t="s">
        <v>67</v>
      </c>
      <c r="P834" t="s">
        <v>117</v>
      </c>
      <c r="Q834" t="s">
        <v>4068</v>
      </c>
      <c r="R834">
        <v>729.45</v>
      </c>
      <c r="S834">
        <v>7</v>
      </c>
      <c r="T834">
        <v>0</v>
      </c>
      <c r="U834">
        <v>109.36</v>
      </c>
    </row>
    <row r="835" spans="1:21" x14ac:dyDescent="0.35">
      <c r="A835" t="s">
        <v>4069</v>
      </c>
      <c r="B835" s="2">
        <v>43665</v>
      </c>
      <c r="C835" s="2" t="str">
        <f t="shared" ref="C835:C898" si="26">TEXT(B835,"mmmm")</f>
        <v>July</v>
      </c>
      <c r="D835" s="2" t="str">
        <f t="shared" ref="D835:D898" si="27">TEXT(B835,"yyyy")</f>
        <v>2019</v>
      </c>
      <c r="E835" s="2" t="s">
        <v>6280</v>
      </c>
      <c r="F835" t="s">
        <v>52</v>
      </c>
      <c r="G835" t="s">
        <v>4070</v>
      </c>
      <c r="H835" t="s">
        <v>4071</v>
      </c>
      <c r="I835" t="s">
        <v>55</v>
      </c>
      <c r="J835" t="s">
        <v>24</v>
      </c>
      <c r="K835" t="s">
        <v>73</v>
      </c>
      <c r="L835" t="s">
        <v>82</v>
      </c>
      <c r="M835" t="s">
        <v>83</v>
      </c>
      <c r="N835" t="s">
        <v>4072</v>
      </c>
      <c r="O835" t="s">
        <v>67</v>
      </c>
      <c r="P835" t="s">
        <v>68</v>
      </c>
      <c r="Q835" t="s">
        <v>4073</v>
      </c>
      <c r="R835">
        <v>914.39</v>
      </c>
      <c r="S835">
        <v>6</v>
      </c>
      <c r="T835">
        <v>0</v>
      </c>
      <c r="U835">
        <v>-235.75</v>
      </c>
    </row>
    <row r="836" spans="1:21" x14ac:dyDescent="0.35">
      <c r="A836" t="s">
        <v>4074</v>
      </c>
      <c r="B836" s="2">
        <v>42821</v>
      </c>
      <c r="C836" s="2" t="str">
        <f t="shared" si="26"/>
        <v>March</v>
      </c>
      <c r="D836" s="2" t="str">
        <f t="shared" si="27"/>
        <v>2017</v>
      </c>
      <c r="E836" s="2" t="s">
        <v>6322</v>
      </c>
      <c r="F836" t="s">
        <v>20</v>
      </c>
      <c r="G836" t="s">
        <v>4075</v>
      </c>
      <c r="H836" t="s">
        <v>4076</v>
      </c>
      <c r="I836" t="s">
        <v>35</v>
      </c>
      <c r="J836" t="s">
        <v>24</v>
      </c>
      <c r="K836" t="s">
        <v>103</v>
      </c>
      <c r="L836" t="s">
        <v>170</v>
      </c>
      <c r="M836" t="s">
        <v>57</v>
      </c>
      <c r="N836" t="s">
        <v>4077</v>
      </c>
      <c r="O836" t="s">
        <v>48</v>
      </c>
      <c r="P836" t="s">
        <v>76</v>
      </c>
      <c r="Q836" t="s">
        <v>951</v>
      </c>
      <c r="R836">
        <v>924.03</v>
      </c>
      <c r="S836">
        <v>2</v>
      </c>
      <c r="T836">
        <v>0.2</v>
      </c>
      <c r="U836">
        <v>202.82</v>
      </c>
    </row>
    <row r="837" spans="1:21" x14ac:dyDescent="0.35">
      <c r="A837" t="s">
        <v>4078</v>
      </c>
      <c r="B837" s="2">
        <v>43196</v>
      </c>
      <c r="C837" s="2" t="str">
        <f t="shared" si="26"/>
        <v>April</v>
      </c>
      <c r="D837" s="2" t="str">
        <f t="shared" si="27"/>
        <v>2018</v>
      </c>
      <c r="E837" s="2">
        <v>43316</v>
      </c>
      <c r="F837" t="s">
        <v>42</v>
      </c>
      <c r="G837" t="s">
        <v>4079</v>
      </c>
      <c r="H837" t="s">
        <v>2778</v>
      </c>
      <c r="I837" t="s">
        <v>55</v>
      </c>
      <c r="J837" t="s">
        <v>24</v>
      </c>
      <c r="K837" t="s">
        <v>36</v>
      </c>
      <c r="L837" t="s">
        <v>82</v>
      </c>
      <c r="M837" t="s">
        <v>74</v>
      </c>
      <c r="N837" t="s">
        <v>4080</v>
      </c>
      <c r="O837" t="s">
        <v>48</v>
      </c>
      <c r="P837" t="s">
        <v>76</v>
      </c>
      <c r="Q837" t="s">
        <v>4081</v>
      </c>
      <c r="R837">
        <v>1748.67</v>
      </c>
      <c r="S837">
        <v>8</v>
      </c>
      <c r="T837">
        <v>0</v>
      </c>
      <c r="U837">
        <v>-10.11</v>
      </c>
    </row>
    <row r="838" spans="1:21" x14ac:dyDescent="0.35">
      <c r="A838" t="s">
        <v>4082</v>
      </c>
      <c r="B838" s="2">
        <v>42661</v>
      </c>
      <c r="C838" s="2" t="str">
        <f t="shared" si="26"/>
        <v>October</v>
      </c>
      <c r="D838" s="2" t="str">
        <f t="shared" si="27"/>
        <v>2016</v>
      </c>
      <c r="E838" s="2" t="s">
        <v>6290</v>
      </c>
      <c r="F838" t="s">
        <v>62</v>
      </c>
      <c r="G838" t="s">
        <v>4083</v>
      </c>
      <c r="H838" t="s">
        <v>4084</v>
      </c>
      <c r="I838" t="s">
        <v>55</v>
      </c>
      <c r="J838" t="s">
        <v>24</v>
      </c>
      <c r="K838" t="s">
        <v>212</v>
      </c>
      <c r="L838" t="s">
        <v>36</v>
      </c>
      <c r="M838" t="s">
        <v>74</v>
      </c>
      <c r="N838" t="s">
        <v>4085</v>
      </c>
      <c r="O838" t="s">
        <v>67</v>
      </c>
      <c r="P838" t="s">
        <v>117</v>
      </c>
      <c r="Q838" t="s">
        <v>4086</v>
      </c>
      <c r="R838">
        <v>242.13</v>
      </c>
      <c r="S838">
        <v>7</v>
      </c>
      <c r="T838">
        <v>0.1</v>
      </c>
      <c r="U838">
        <v>60.17</v>
      </c>
    </row>
    <row r="839" spans="1:21" x14ac:dyDescent="0.35">
      <c r="A839" t="s">
        <v>4087</v>
      </c>
      <c r="B839" s="2">
        <v>43681</v>
      </c>
      <c r="C839" s="2" t="str">
        <f t="shared" si="26"/>
        <v>August</v>
      </c>
      <c r="D839" s="2" t="str">
        <f t="shared" si="27"/>
        <v>2019</v>
      </c>
      <c r="E839" s="2">
        <v>43807</v>
      </c>
      <c r="F839" t="s">
        <v>20</v>
      </c>
      <c r="G839" t="s">
        <v>4088</v>
      </c>
      <c r="H839" t="s">
        <v>4089</v>
      </c>
      <c r="I839" t="s">
        <v>23</v>
      </c>
      <c r="J839" t="s">
        <v>24</v>
      </c>
      <c r="K839" t="s">
        <v>36</v>
      </c>
      <c r="L839" t="s">
        <v>26</v>
      </c>
      <c r="M839" t="s">
        <v>74</v>
      </c>
      <c r="N839" t="s">
        <v>4090</v>
      </c>
      <c r="O839" t="s">
        <v>48</v>
      </c>
      <c r="P839" t="s">
        <v>76</v>
      </c>
      <c r="Q839" t="s">
        <v>4091</v>
      </c>
      <c r="R839">
        <v>281.29000000000002</v>
      </c>
      <c r="S839">
        <v>3</v>
      </c>
      <c r="T839">
        <v>0.3</v>
      </c>
      <c r="U839">
        <v>-19.71</v>
      </c>
    </row>
    <row r="840" spans="1:21" x14ac:dyDescent="0.35">
      <c r="A840" t="s">
        <v>4092</v>
      </c>
      <c r="B840" s="2">
        <v>42459</v>
      </c>
      <c r="C840" s="2" t="str">
        <f t="shared" si="26"/>
        <v>March</v>
      </c>
      <c r="D840" s="2" t="str">
        <f t="shared" si="27"/>
        <v>2016</v>
      </c>
      <c r="E840" s="2">
        <v>42373</v>
      </c>
      <c r="F840" t="s">
        <v>42</v>
      </c>
      <c r="G840" t="s">
        <v>4093</v>
      </c>
      <c r="H840" t="s">
        <v>4094</v>
      </c>
      <c r="I840" t="s">
        <v>23</v>
      </c>
      <c r="J840" t="s">
        <v>24</v>
      </c>
      <c r="K840" t="s">
        <v>133</v>
      </c>
      <c r="L840" t="s">
        <v>82</v>
      </c>
      <c r="M840" t="s">
        <v>27</v>
      </c>
      <c r="N840" t="s">
        <v>4095</v>
      </c>
      <c r="O840" t="s">
        <v>67</v>
      </c>
      <c r="P840" t="s">
        <v>68</v>
      </c>
      <c r="Q840" t="s">
        <v>2994</v>
      </c>
      <c r="R840">
        <v>1175.6500000000001</v>
      </c>
      <c r="S840">
        <v>2</v>
      </c>
      <c r="T840">
        <v>0.1</v>
      </c>
      <c r="U840">
        <v>-265.61</v>
      </c>
    </row>
    <row r="841" spans="1:21" x14ac:dyDescent="0.35">
      <c r="A841" t="s">
        <v>4096</v>
      </c>
      <c r="B841" s="2">
        <v>43473</v>
      </c>
      <c r="C841" s="2" t="str">
        <f t="shared" si="26"/>
        <v>January</v>
      </c>
      <c r="D841" s="2" t="str">
        <f t="shared" si="27"/>
        <v>2019</v>
      </c>
      <c r="E841" s="2">
        <v>43800</v>
      </c>
      <c r="F841" t="s">
        <v>42</v>
      </c>
      <c r="G841" t="s">
        <v>4097</v>
      </c>
      <c r="H841" t="s">
        <v>4098</v>
      </c>
      <c r="I841" t="s">
        <v>35</v>
      </c>
      <c r="J841" t="s">
        <v>24</v>
      </c>
      <c r="K841" t="s">
        <v>36</v>
      </c>
      <c r="L841" t="s">
        <v>115</v>
      </c>
      <c r="M841" t="s">
        <v>83</v>
      </c>
      <c r="N841" t="s">
        <v>4099</v>
      </c>
      <c r="O841" t="s">
        <v>48</v>
      </c>
      <c r="P841" t="s">
        <v>49</v>
      </c>
      <c r="Q841" t="s">
        <v>4100</v>
      </c>
      <c r="R841">
        <v>703.25</v>
      </c>
      <c r="S841">
        <v>9</v>
      </c>
      <c r="T841">
        <v>0.2</v>
      </c>
      <c r="U841">
        <v>-22.5</v>
      </c>
    </row>
    <row r="842" spans="1:21" x14ac:dyDescent="0.35">
      <c r="A842" t="s">
        <v>4101</v>
      </c>
      <c r="B842" s="2">
        <v>42628</v>
      </c>
      <c r="C842" s="2" t="str">
        <f t="shared" si="26"/>
        <v>September</v>
      </c>
      <c r="D842" s="2" t="str">
        <f t="shared" si="27"/>
        <v>2016</v>
      </c>
      <c r="E842" s="2" t="s">
        <v>6051</v>
      </c>
      <c r="F842" t="s">
        <v>20</v>
      </c>
      <c r="G842" t="s">
        <v>4102</v>
      </c>
      <c r="H842" t="s">
        <v>4103</v>
      </c>
      <c r="I842" t="s">
        <v>35</v>
      </c>
      <c r="J842" t="s">
        <v>24</v>
      </c>
      <c r="K842" t="s">
        <v>212</v>
      </c>
      <c r="L842" t="s">
        <v>36</v>
      </c>
      <c r="M842" t="s">
        <v>57</v>
      </c>
      <c r="N842" t="s">
        <v>4104</v>
      </c>
      <c r="O842" t="s">
        <v>48</v>
      </c>
      <c r="P842" t="s">
        <v>59</v>
      </c>
      <c r="Q842" t="s">
        <v>4105</v>
      </c>
      <c r="R842">
        <v>154.08000000000001</v>
      </c>
      <c r="S842">
        <v>4</v>
      </c>
      <c r="T842">
        <v>0.2</v>
      </c>
      <c r="U842">
        <v>17.77</v>
      </c>
    </row>
    <row r="843" spans="1:21" x14ac:dyDescent="0.35">
      <c r="A843" t="s">
        <v>4106</v>
      </c>
      <c r="B843" s="2">
        <v>43125</v>
      </c>
      <c r="C843" s="2" t="str">
        <f t="shared" si="26"/>
        <v>January</v>
      </c>
      <c r="D843" s="2" t="str">
        <f t="shared" si="27"/>
        <v>2018</v>
      </c>
      <c r="E843" s="2" t="s">
        <v>6193</v>
      </c>
      <c r="F843" t="s">
        <v>20</v>
      </c>
      <c r="G843" t="s">
        <v>4107</v>
      </c>
      <c r="H843" t="s">
        <v>3573</v>
      </c>
      <c r="I843" t="s">
        <v>35</v>
      </c>
      <c r="J843" t="s">
        <v>24</v>
      </c>
      <c r="K843" t="s">
        <v>81</v>
      </c>
      <c r="L843" t="s">
        <v>36</v>
      </c>
      <c r="M843" t="s">
        <v>27</v>
      </c>
      <c r="N843" t="s">
        <v>4108</v>
      </c>
      <c r="O843" t="s">
        <v>48</v>
      </c>
      <c r="P843" t="s">
        <v>49</v>
      </c>
      <c r="Q843" t="s">
        <v>4109</v>
      </c>
      <c r="R843">
        <v>1285.72</v>
      </c>
      <c r="S843">
        <v>1</v>
      </c>
      <c r="T843">
        <v>0</v>
      </c>
      <c r="U843">
        <v>122.46</v>
      </c>
    </row>
    <row r="844" spans="1:21" x14ac:dyDescent="0.35">
      <c r="A844" t="s">
        <v>4110</v>
      </c>
      <c r="B844" s="2">
        <v>42834</v>
      </c>
      <c r="C844" s="2" t="str">
        <f t="shared" si="26"/>
        <v>April</v>
      </c>
      <c r="D844" s="2" t="str">
        <f t="shared" si="27"/>
        <v>2017</v>
      </c>
      <c r="E844" s="2" t="s">
        <v>5985</v>
      </c>
      <c r="F844" t="s">
        <v>62</v>
      </c>
      <c r="G844" t="s">
        <v>4111</v>
      </c>
      <c r="H844" t="s">
        <v>2072</v>
      </c>
      <c r="I844" t="s">
        <v>55</v>
      </c>
      <c r="J844" t="s">
        <v>24</v>
      </c>
      <c r="K844" t="s">
        <v>133</v>
      </c>
      <c r="L844" t="s">
        <v>65</v>
      </c>
      <c r="M844" t="s">
        <v>74</v>
      </c>
      <c r="N844" t="s">
        <v>4112</v>
      </c>
      <c r="O844" t="s">
        <v>48</v>
      </c>
      <c r="P844" t="s">
        <v>49</v>
      </c>
      <c r="Q844" t="s">
        <v>4113</v>
      </c>
      <c r="R844">
        <v>925.32</v>
      </c>
      <c r="S844">
        <v>5</v>
      </c>
      <c r="T844">
        <v>0</v>
      </c>
      <c r="U844">
        <v>-192.53</v>
      </c>
    </row>
    <row r="845" spans="1:21" x14ac:dyDescent="0.35">
      <c r="A845" t="s">
        <v>4114</v>
      </c>
      <c r="B845" s="2">
        <v>43708</v>
      </c>
      <c r="C845" s="2" t="str">
        <f t="shared" si="26"/>
        <v>August</v>
      </c>
      <c r="D845" s="2" t="str">
        <f t="shared" si="27"/>
        <v>2019</v>
      </c>
      <c r="E845" s="2">
        <v>43686</v>
      </c>
      <c r="F845" t="s">
        <v>20</v>
      </c>
      <c r="G845" t="s">
        <v>4115</v>
      </c>
      <c r="H845" t="s">
        <v>4116</v>
      </c>
      <c r="I845" t="s">
        <v>55</v>
      </c>
      <c r="J845" t="s">
        <v>24</v>
      </c>
      <c r="K845" t="s">
        <v>25</v>
      </c>
      <c r="L845" t="s">
        <v>170</v>
      </c>
      <c r="M845" t="s">
        <v>83</v>
      </c>
      <c r="N845" t="s">
        <v>4117</v>
      </c>
      <c r="O845" t="s">
        <v>48</v>
      </c>
      <c r="P845" t="s">
        <v>59</v>
      </c>
      <c r="Q845" t="s">
        <v>4118</v>
      </c>
      <c r="R845">
        <v>376.36</v>
      </c>
      <c r="S845">
        <v>2</v>
      </c>
      <c r="T845">
        <v>0.1</v>
      </c>
      <c r="U845">
        <v>111.6</v>
      </c>
    </row>
    <row r="846" spans="1:21" x14ac:dyDescent="0.35">
      <c r="A846" t="s">
        <v>4119</v>
      </c>
      <c r="B846" s="2">
        <v>43769</v>
      </c>
      <c r="C846" s="2" t="str">
        <f t="shared" si="26"/>
        <v>October</v>
      </c>
      <c r="D846" s="2" t="str">
        <f t="shared" si="27"/>
        <v>2019</v>
      </c>
      <c r="E846" s="2">
        <v>43566</v>
      </c>
      <c r="F846" t="s">
        <v>52</v>
      </c>
      <c r="G846" t="s">
        <v>4120</v>
      </c>
      <c r="H846" t="s">
        <v>4121</v>
      </c>
      <c r="I846" t="s">
        <v>23</v>
      </c>
      <c r="J846" t="s">
        <v>24</v>
      </c>
      <c r="K846" t="s">
        <v>45</v>
      </c>
      <c r="L846" t="s">
        <v>56</v>
      </c>
      <c r="M846" t="s">
        <v>83</v>
      </c>
      <c r="N846" t="s">
        <v>4122</v>
      </c>
      <c r="O846" t="s">
        <v>48</v>
      </c>
      <c r="P846" t="s">
        <v>128</v>
      </c>
      <c r="Q846" t="s">
        <v>4123</v>
      </c>
      <c r="R846">
        <v>45.92</v>
      </c>
      <c r="S846">
        <v>9</v>
      </c>
      <c r="T846">
        <v>0.3</v>
      </c>
      <c r="U846">
        <v>7.76</v>
      </c>
    </row>
    <row r="847" spans="1:21" x14ac:dyDescent="0.35">
      <c r="A847" t="s">
        <v>4124</v>
      </c>
      <c r="B847" s="2">
        <v>43466</v>
      </c>
      <c r="C847" s="2" t="str">
        <f t="shared" si="26"/>
        <v>January</v>
      </c>
      <c r="D847" s="2" t="str">
        <f t="shared" si="27"/>
        <v>2019</v>
      </c>
      <c r="E847" s="2">
        <v>43739</v>
      </c>
      <c r="F847" t="s">
        <v>52</v>
      </c>
      <c r="G847" t="s">
        <v>4125</v>
      </c>
      <c r="H847" t="s">
        <v>4126</v>
      </c>
      <c r="I847" t="s">
        <v>23</v>
      </c>
      <c r="J847" t="s">
        <v>24</v>
      </c>
      <c r="K847" t="s">
        <v>81</v>
      </c>
      <c r="L847" t="s">
        <v>46</v>
      </c>
      <c r="M847" t="s">
        <v>27</v>
      </c>
      <c r="N847" t="s">
        <v>4127</v>
      </c>
      <c r="O847" t="s">
        <v>48</v>
      </c>
      <c r="P847" t="s">
        <v>59</v>
      </c>
      <c r="Q847" t="s">
        <v>4128</v>
      </c>
      <c r="R847">
        <v>1611.55</v>
      </c>
      <c r="S847">
        <v>2</v>
      </c>
      <c r="T847">
        <v>0.2</v>
      </c>
      <c r="U847">
        <v>665.51</v>
      </c>
    </row>
    <row r="848" spans="1:21" x14ac:dyDescent="0.35">
      <c r="A848" t="s">
        <v>4129</v>
      </c>
      <c r="B848" s="2">
        <v>43442</v>
      </c>
      <c r="C848" s="2" t="str">
        <f t="shared" si="26"/>
        <v>December</v>
      </c>
      <c r="D848" s="2" t="str">
        <f t="shared" si="27"/>
        <v>2018</v>
      </c>
      <c r="E848" s="2" t="s">
        <v>6352</v>
      </c>
      <c r="F848" t="s">
        <v>20</v>
      </c>
      <c r="G848" t="s">
        <v>4130</v>
      </c>
      <c r="H848" t="s">
        <v>4131</v>
      </c>
      <c r="I848" t="s">
        <v>55</v>
      </c>
      <c r="J848" t="s">
        <v>24</v>
      </c>
      <c r="K848" t="s">
        <v>89</v>
      </c>
      <c r="L848" t="s">
        <v>26</v>
      </c>
      <c r="M848" t="s">
        <v>74</v>
      </c>
      <c r="N848" t="s">
        <v>4132</v>
      </c>
      <c r="O848" t="s">
        <v>29</v>
      </c>
      <c r="P848" t="s">
        <v>155</v>
      </c>
      <c r="Q848" t="s">
        <v>4133</v>
      </c>
      <c r="R848">
        <v>444.84</v>
      </c>
      <c r="S848">
        <v>4</v>
      </c>
      <c r="T848">
        <v>0.3</v>
      </c>
      <c r="U848">
        <v>-106.51</v>
      </c>
    </row>
    <row r="849" spans="1:21" x14ac:dyDescent="0.35">
      <c r="A849" t="s">
        <v>4134</v>
      </c>
      <c r="B849" s="2">
        <v>42685</v>
      </c>
      <c r="C849" s="2" t="str">
        <f t="shared" si="26"/>
        <v>November</v>
      </c>
      <c r="D849" s="2" t="str">
        <f t="shared" si="27"/>
        <v>2016</v>
      </c>
      <c r="E849" s="2" t="s">
        <v>6101</v>
      </c>
      <c r="F849" t="s">
        <v>20</v>
      </c>
      <c r="G849" t="s">
        <v>4135</v>
      </c>
      <c r="H849" t="s">
        <v>4136</v>
      </c>
      <c r="I849" t="s">
        <v>55</v>
      </c>
      <c r="J849" t="s">
        <v>24</v>
      </c>
      <c r="K849" t="s">
        <v>103</v>
      </c>
      <c r="L849" t="s">
        <v>36</v>
      </c>
      <c r="M849" t="s">
        <v>74</v>
      </c>
      <c r="N849" t="s">
        <v>4137</v>
      </c>
      <c r="O849" t="s">
        <v>48</v>
      </c>
      <c r="P849" t="s">
        <v>49</v>
      </c>
      <c r="Q849" t="s">
        <v>4138</v>
      </c>
      <c r="R849">
        <v>1748.66</v>
      </c>
      <c r="S849">
        <v>6</v>
      </c>
      <c r="T849">
        <v>0.1</v>
      </c>
      <c r="U849">
        <v>830.52</v>
      </c>
    </row>
    <row r="850" spans="1:21" x14ac:dyDescent="0.35">
      <c r="A850" t="s">
        <v>4139</v>
      </c>
      <c r="B850" s="2">
        <v>43052</v>
      </c>
      <c r="C850" s="2" t="str">
        <f t="shared" si="26"/>
        <v>November</v>
      </c>
      <c r="D850" s="2" t="str">
        <f t="shared" si="27"/>
        <v>2017</v>
      </c>
      <c r="E850" s="2" t="s">
        <v>6353</v>
      </c>
      <c r="F850" t="s">
        <v>20</v>
      </c>
      <c r="G850" t="s">
        <v>4140</v>
      </c>
      <c r="H850" t="s">
        <v>4141</v>
      </c>
      <c r="I850" t="s">
        <v>55</v>
      </c>
      <c r="J850" t="s">
        <v>24</v>
      </c>
      <c r="K850" t="s">
        <v>73</v>
      </c>
      <c r="L850" t="s">
        <v>56</v>
      </c>
      <c r="M850" t="s">
        <v>74</v>
      </c>
      <c r="N850" t="s">
        <v>4142</v>
      </c>
      <c r="O850" t="s">
        <v>48</v>
      </c>
      <c r="P850" t="s">
        <v>49</v>
      </c>
      <c r="Q850" t="s">
        <v>4143</v>
      </c>
      <c r="R850">
        <v>1556.26</v>
      </c>
      <c r="S850">
        <v>3</v>
      </c>
      <c r="T850">
        <v>0.3</v>
      </c>
      <c r="U850">
        <v>705.45</v>
      </c>
    </row>
    <row r="851" spans="1:21" x14ac:dyDescent="0.35">
      <c r="A851" t="s">
        <v>4144</v>
      </c>
      <c r="B851" s="2">
        <v>43293</v>
      </c>
      <c r="C851" s="2" t="str">
        <f t="shared" si="26"/>
        <v>July</v>
      </c>
      <c r="D851" s="2" t="str">
        <f t="shared" si="27"/>
        <v>2018</v>
      </c>
      <c r="E851" s="2" t="s">
        <v>6354</v>
      </c>
      <c r="F851" t="s">
        <v>42</v>
      </c>
      <c r="G851" t="s">
        <v>4145</v>
      </c>
      <c r="H851" t="s">
        <v>4146</v>
      </c>
      <c r="I851" t="s">
        <v>35</v>
      </c>
      <c r="J851" t="s">
        <v>24</v>
      </c>
      <c r="K851" t="s">
        <v>89</v>
      </c>
      <c r="L851" t="s">
        <v>82</v>
      </c>
      <c r="M851" t="s">
        <v>74</v>
      </c>
      <c r="N851" t="s">
        <v>4147</v>
      </c>
      <c r="O851" t="s">
        <v>29</v>
      </c>
      <c r="P851" t="s">
        <v>30</v>
      </c>
      <c r="Q851" t="s">
        <v>3171</v>
      </c>
      <c r="R851">
        <v>149.37</v>
      </c>
      <c r="S851">
        <v>4</v>
      </c>
      <c r="T851">
        <v>0.2</v>
      </c>
      <c r="U851">
        <v>41.62</v>
      </c>
    </row>
    <row r="852" spans="1:21" x14ac:dyDescent="0.35">
      <c r="A852" t="s">
        <v>4148</v>
      </c>
      <c r="B852" s="2">
        <v>42549</v>
      </c>
      <c r="C852" s="2" t="str">
        <f t="shared" si="26"/>
        <v>June</v>
      </c>
      <c r="D852" s="2" t="str">
        <f t="shared" si="27"/>
        <v>2016</v>
      </c>
      <c r="E852" s="2">
        <v>42467</v>
      </c>
      <c r="F852" t="s">
        <v>20</v>
      </c>
      <c r="G852" t="s">
        <v>4149</v>
      </c>
      <c r="H852" t="s">
        <v>4150</v>
      </c>
      <c r="I852" t="s">
        <v>23</v>
      </c>
      <c r="J852" t="s">
        <v>24</v>
      </c>
      <c r="K852" t="s">
        <v>81</v>
      </c>
      <c r="L852" t="s">
        <v>115</v>
      </c>
      <c r="M852" t="s">
        <v>57</v>
      </c>
      <c r="N852" t="s">
        <v>4151</v>
      </c>
      <c r="O852" t="s">
        <v>67</v>
      </c>
      <c r="P852" t="s">
        <v>68</v>
      </c>
      <c r="Q852" t="s">
        <v>4152</v>
      </c>
      <c r="R852">
        <v>1435.76</v>
      </c>
      <c r="S852">
        <v>4</v>
      </c>
      <c r="T852">
        <v>0.3</v>
      </c>
      <c r="U852">
        <v>-180.39</v>
      </c>
    </row>
    <row r="853" spans="1:21" x14ac:dyDescent="0.35">
      <c r="A853" t="s">
        <v>4153</v>
      </c>
      <c r="B853" s="2">
        <v>43237</v>
      </c>
      <c r="C853" s="2" t="str">
        <f t="shared" si="26"/>
        <v>May</v>
      </c>
      <c r="D853" s="2" t="str">
        <f t="shared" si="27"/>
        <v>2018</v>
      </c>
      <c r="E853" s="2" t="s">
        <v>5934</v>
      </c>
      <c r="F853" t="s">
        <v>62</v>
      </c>
      <c r="G853" t="s">
        <v>4154</v>
      </c>
      <c r="H853" t="s">
        <v>4155</v>
      </c>
      <c r="I853" t="s">
        <v>55</v>
      </c>
      <c r="J853" t="s">
        <v>24</v>
      </c>
      <c r="K853" t="s">
        <v>81</v>
      </c>
      <c r="L853" t="s">
        <v>170</v>
      </c>
      <c r="M853" t="s">
        <v>57</v>
      </c>
      <c r="N853" t="s">
        <v>4156</v>
      </c>
      <c r="O853" t="s">
        <v>48</v>
      </c>
      <c r="P853" t="s">
        <v>49</v>
      </c>
      <c r="Q853" t="s">
        <v>4157</v>
      </c>
      <c r="R853">
        <v>1797.17</v>
      </c>
      <c r="S853">
        <v>10</v>
      </c>
      <c r="T853">
        <v>0</v>
      </c>
      <c r="U853">
        <v>891.11</v>
      </c>
    </row>
    <row r="854" spans="1:21" x14ac:dyDescent="0.35">
      <c r="A854" t="s">
        <v>4158</v>
      </c>
      <c r="B854" s="2">
        <v>43144</v>
      </c>
      <c r="C854" s="2" t="str">
        <f t="shared" si="26"/>
        <v>February</v>
      </c>
      <c r="D854" s="2" t="str">
        <f t="shared" si="27"/>
        <v>2018</v>
      </c>
      <c r="E854" s="2" t="s">
        <v>5997</v>
      </c>
      <c r="F854" t="s">
        <v>42</v>
      </c>
      <c r="G854" t="s">
        <v>4159</v>
      </c>
      <c r="H854" t="s">
        <v>4160</v>
      </c>
      <c r="I854" t="s">
        <v>55</v>
      </c>
      <c r="J854" t="s">
        <v>24</v>
      </c>
      <c r="K854" t="s">
        <v>25</v>
      </c>
      <c r="L854" t="s">
        <v>82</v>
      </c>
      <c r="M854" t="s">
        <v>27</v>
      </c>
      <c r="N854" t="s">
        <v>4161</v>
      </c>
      <c r="O854" t="s">
        <v>67</v>
      </c>
      <c r="P854" t="s">
        <v>350</v>
      </c>
      <c r="Q854" t="s">
        <v>921</v>
      </c>
      <c r="R854">
        <v>513.12</v>
      </c>
      <c r="S854">
        <v>3</v>
      </c>
      <c r="T854">
        <v>0.2</v>
      </c>
      <c r="U854">
        <v>-7.73</v>
      </c>
    </row>
    <row r="855" spans="1:21" x14ac:dyDescent="0.35">
      <c r="A855" t="s">
        <v>4162</v>
      </c>
      <c r="B855" s="2">
        <v>43283</v>
      </c>
      <c r="C855" s="2" t="str">
        <f t="shared" si="26"/>
        <v>July</v>
      </c>
      <c r="D855" s="2" t="str">
        <f t="shared" si="27"/>
        <v>2018</v>
      </c>
      <c r="E855" s="2">
        <v>43258</v>
      </c>
      <c r="F855" t="s">
        <v>42</v>
      </c>
      <c r="G855" t="s">
        <v>4163</v>
      </c>
      <c r="H855" t="s">
        <v>4164</v>
      </c>
      <c r="I855" t="s">
        <v>55</v>
      </c>
      <c r="J855" t="s">
        <v>24</v>
      </c>
      <c r="K855" t="s">
        <v>97</v>
      </c>
      <c r="L855" t="s">
        <v>170</v>
      </c>
      <c r="M855" t="s">
        <v>57</v>
      </c>
      <c r="N855" t="s">
        <v>4165</v>
      </c>
      <c r="O855" t="s">
        <v>29</v>
      </c>
      <c r="P855" t="s">
        <v>155</v>
      </c>
      <c r="Q855" t="s">
        <v>4166</v>
      </c>
      <c r="R855">
        <v>1950.54</v>
      </c>
      <c r="S855">
        <v>3</v>
      </c>
      <c r="T855">
        <v>0.1</v>
      </c>
      <c r="U855">
        <v>-209.81</v>
      </c>
    </row>
    <row r="856" spans="1:21" x14ac:dyDescent="0.35">
      <c r="A856" t="s">
        <v>4167</v>
      </c>
      <c r="B856" s="2">
        <v>43396</v>
      </c>
      <c r="C856" s="2" t="str">
        <f t="shared" si="26"/>
        <v>October</v>
      </c>
      <c r="D856" s="2" t="str">
        <f t="shared" si="27"/>
        <v>2018</v>
      </c>
      <c r="E856" s="2" t="s">
        <v>6194</v>
      </c>
      <c r="F856" t="s">
        <v>20</v>
      </c>
      <c r="G856" t="s">
        <v>4168</v>
      </c>
      <c r="H856" t="s">
        <v>4169</v>
      </c>
      <c r="I856" t="s">
        <v>55</v>
      </c>
      <c r="J856" t="s">
        <v>24</v>
      </c>
      <c r="K856" t="s">
        <v>81</v>
      </c>
      <c r="L856" t="s">
        <v>36</v>
      </c>
      <c r="M856" t="s">
        <v>27</v>
      </c>
      <c r="N856" t="s">
        <v>4170</v>
      </c>
      <c r="O856" t="s">
        <v>29</v>
      </c>
      <c r="P856" t="s">
        <v>39</v>
      </c>
      <c r="Q856" t="s">
        <v>4171</v>
      </c>
      <c r="R856">
        <v>1529.07</v>
      </c>
      <c r="S856">
        <v>3</v>
      </c>
      <c r="T856">
        <v>0.4</v>
      </c>
      <c r="U856">
        <v>-205.53</v>
      </c>
    </row>
    <row r="857" spans="1:21" x14ac:dyDescent="0.35">
      <c r="A857" t="s">
        <v>4172</v>
      </c>
      <c r="B857" s="2">
        <v>43239</v>
      </c>
      <c r="C857" s="2" t="str">
        <f t="shared" si="26"/>
        <v>May</v>
      </c>
      <c r="D857" s="2" t="str">
        <f t="shared" si="27"/>
        <v>2018</v>
      </c>
      <c r="E857" s="2" t="s">
        <v>6355</v>
      </c>
      <c r="F857" t="s">
        <v>52</v>
      </c>
      <c r="G857" t="s">
        <v>4173</v>
      </c>
      <c r="H857" t="s">
        <v>4174</v>
      </c>
      <c r="I857" t="s">
        <v>35</v>
      </c>
      <c r="J857" t="s">
        <v>24</v>
      </c>
      <c r="K857" t="s">
        <v>81</v>
      </c>
      <c r="L857" t="s">
        <v>170</v>
      </c>
      <c r="M857" t="s">
        <v>74</v>
      </c>
      <c r="N857" t="s">
        <v>4175</v>
      </c>
      <c r="O857" t="s">
        <v>48</v>
      </c>
      <c r="P857" t="s">
        <v>49</v>
      </c>
      <c r="Q857" t="s">
        <v>4176</v>
      </c>
      <c r="R857">
        <v>1613.91</v>
      </c>
      <c r="S857">
        <v>6</v>
      </c>
      <c r="T857">
        <v>0.2</v>
      </c>
      <c r="U857">
        <v>-110.79</v>
      </c>
    </row>
    <row r="858" spans="1:21" x14ac:dyDescent="0.35">
      <c r="A858" t="s">
        <v>4177</v>
      </c>
      <c r="B858" s="2">
        <v>43184</v>
      </c>
      <c r="C858" s="2" t="str">
        <f t="shared" si="26"/>
        <v>March</v>
      </c>
      <c r="D858" s="2" t="str">
        <f t="shared" si="27"/>
        <v>2018</v>
      </c>
      <c r="E858" s="2">
        <v>43135</v>
      </c>
      <c r="F858" t="s">
        <v>20</v>
      </c>
      <c r="G858" t="s">
        <v>4178</v>
      </c>
      <c r="H858" t="s">
        <v>4179</v>
      </c>
      <c r="I858" t="s">
        <v>23</v>
      </c>
      <c r="J858" t="s">
        <v>24</v>
      </c>
      <c r="K858" t="s">
        <v>89</v>
      </c>
      <c r="L858" t="s">
        <v>26</v>
      </c>
      <c r="M858" t="s">
        <v>83</v>
      </c>
      <c r="N858" t="s">
        <v>4180</v>
      </c>
      <c r="O858" t="s">
        <v>48</v>
      </c>
      <c r="P858" t="s">
        <v>49</v>
      </c>
      <c r="Q858" t="s">
        <v>4181</v>
      </c>
      <c r="R858">
        <v>1225.97</v>
      </c>
      <c r="S858">
        <v>2</v>
      </c>
      <c r="T858">
        <v>0</v>
      </c>
      <c r="U858">
        <v>574.99</v>
      </c>
    </row>
    <row r="859" spans="1:21" x14ac:dyDescent="0.35">
      <c r="A859" t="s">
        <v>4182</v>
      </c>
      <c r="B859" s="2">
        <v>43776</v>
      </c>
      <c r="C859" s="2" t="str">
        <f t="shared" si="26"/>
        <v>November</v>
      </c>
      <c r="D859" s="2" t="str">
        <f t="shared" si="27"/>
        <v>2019</v>
      </c>
      <c r="E859" s="2">
        <v>43688</v>
      </c>
      <c r="F859" t="s">
        <v>52</v>
      </c>
      <c r="G859" t="s">
        <v>4183</v>
      </c>
      <c r="H859" t="s">
        <v>4184</v>
      </c>
      <c r="I859" t="s">
        <v>23</v>
      </c>
      <c r="J859" t="s">
        <v>24</v>
      </c>
      <c r="K859" t="s">
        <v>25</v>
      </c>
      <c r="L859" t="s">
        <v>26</v>
      </c>
      <c r="M859" t="s">
        <v>27</v>
      </c>
      <c r="N859" t="s">
        <v>4185</v>
      </c>
      <c r="O859" t="s">
        <v>48</v>
      </c>
      <c r="P859" t="s">
        <v>59</v>
      </c>
      <c r="Q859" t="s">
        <v>4186</v>
      </c>
      <c r="R859">
        <v>1243.3399999999999</v>
      </c>
      <c r="S859">
        <v>4</v>
      </c>
      <c r="T859">
        <v>0.2</v>
      </c>
      <c r="U859">
        <v>361.75</v>
      </c>
    </row>
    <row r="860" spans="1:21" x14ac:dyDescent="0.35">
      <c r="A860" t="s">
        <v>4187</v>
      </c>
      <c r="B860" s="2">
        <v>43602</v>
      </c>
      <c r="C860" s="2" t="str">
        <f t="shared" si="26"/>
        <v>May</v>
      </c>
      <c r="D860" s="2" t="str">
        <f t="shared" si="27"/>
        <v>2019</v>
      </c>
      <c r="E860" s="2" t="s">
        <v>6250</v>
      </c>
      <c r="F860" t="s">
        <v>42</v>
      </c>
      <c r="G860" t="s">
        <v>4188</v>
      </c>
      <c r="H860" t="s">
        <v>4189</v>
      </c>
      <c r="I860" t="s">
        <v>55</v>
      </c>
      <c r="J860" t="s">
        <v>24</v>
      </c>
      <c r="K860" t="s">
        <v>103</v>
      </c>
      <c r="L860" t="s">
        <v>36</v>
      </c>
      <c r="M860" t="s">
        <v>83</v>
      </c>
      <c r="N860" t="s">
        <v>4190</v>
      </c>
      <c r="O860" t="s">
        <v>67</v>
      </c>
      <c r="P860" t="s">
        <v>350</v>
      </c>
      <c r="Q860" t="s">
        <v>4191</v>
      </c>
      <c r="R860">
        <v>1733.86</v>
      </c>
      <c r="S860">
        <v>2</v>
      </c>
      <c r="T860">
        <v>0.3</v>
      </c>
      <c r="U860">
        <v>-514.29</v>
      </c>
    </row>
    <row r="861" spans="1:21" x14ac:dyDescent="0.35">
      <c r="A861" t="s">
        <v>4192</v>
      </c>
      <c r="B861" s="2">
        <v>43549</v>
      </c>
      <c r="C861" s="2" t="str">
        <f t="shared" si="26"/>
        <v>March</v>
      </c>
      <c r="D861" s="2" t="str">
        <f t="shared" si="27"/>
        <v>2019</v>
      </c>
      <c r="E861" s="2" t="s">
        <v>6356</v>
      </c>
      <c r="F861" t="s">
        <v>20</v>
      </c>
      <c r="G861" t="s">
        <v>4193</v>
      </c>
      <c r="H861" t="s">
        <v>1848</v>
      </c>
      <c r="I861" t="s">
        <v>23</v>
      </c>
      <c r="J861" t="s">
        <v>24</v>
      </c>
      <c r="K861" t="s">
        <v>25</v>
      </c>
      <c r="L861" t="s">
        <v>82</v>
      </c>
      <c r="M861" t="s">
        <v>27</v>
      </c>
      <c r="N861" t="s">
        <v>4194</v>
      </c>
      <c r="O861" t="s">
        <v>67</v>
      </c>
      <c r="P861" t="s">
        <v>92</v>
      </c>
      <c r="Q861" t="s">
        <v>4195</v>
      </c>
      <c r="R861">
        <v>12.46</v>
      </c>
      <c r="S861">
        <v>8</v>
      </c>
      <c r="T861">
        <v>0</v>
      </c>
      <c r="U861">
        <v>1.73</v>
      </c>
    </row>
    <row r="862" spans="1:21" x14ac:dyDescent="0.35">
      <c r="A862" t="s">
        <v>4196</v>
      </c>
      <c r="B862" s="2">
        <v>43199</v>
      </c>
      <c r="C862" s="2" t="str">
        <f t="shared" si="26"/>
        <v>April</v>
      </c>
      <c r="D862" s="2" t="str">
        <f t="shared" si="27"/>
        <v>2018</v>
      </c>
      <c r="E862" s="2" t="s">
        <v>6006</v>
      </c>
      <c r="F862" t="s">
        <v>52</v>
      </c>
      <c r="G862" t="s">
        <v>4197</v>
      </c>
      <c r="H862" t="s">
        <v>4198</v>
      </c>
      <c r="I862" t="s">
        <v>23</v>
      </c>
      <c r="J862" t="s">
        <v>24</v>
      </c>
      <c r="K862" t="s">
        <v>36</v>
      </c>
      <c r="L862" t="s">
        <v>36</v>
      </c>
      <c r="M862" t="s">
        <v>27</v>
      </c>
      <c r="N862" t="s">
        <v>4199</v>
      </c>
      <c r="O862" t="s">
        <v>29</v>
      </c>
      <c r="P862" t="s">
        <v>155</v>
      </c>
      <c r="Q862" t="s">
        <v>4200</v>
      </c>
      <c r="R862">
        <v>944.78</v>
      </c>
      <c r="S862">
        <v>6</v>
      </c>
      <c r="T862">
        <v>0</v>
      </c>
      <c r="U862">
        <v>294.32</v>
      </c>
    </row>
    <row r="863" spans="1:21" x14ac:dyDescent="0.35">
      <c r="A863" t="s">
        <v>4201</v>
      </c>
      <c r="B863" s="2">
        <v>43672</v>
      </c>
      <c r="C863" s="2" t="str">
        <f t="shared" si="26"/>
        <v>July</v>
      </c>
      <c r="D863" s="2" t="str">
        <f t="shared" si="27"/>
        <v>2019</v>
      </c>
      <c r="E863" s="2" t="s">
        <v>6125</v>
      </c>
      <c r="F863" t="s">
        <v>52</v>
      </c>
      <c r="G863" t="s">
        <v>4202</v>
      </c>
      <c r="H863" t="s">
        <v>4203</v>
      </c>
      <c r="I863" t="s">
        <v>55</v>
      </c>
      <c r="J863" t="s">
        <v>24</v>
      </c>
      <c r="K863" t="s">
        <v>133</v>
      </c>
      <c r="L863" t="s">
        <v>90</v>
      </c>
      <c r="M863" t="s">
        <v>27</v>
      </c>
      <c r="N863" t="s">
        <v>4204</v>
      </c>
      <c r="O863" t="s">
        <v>67</v>
      </c>
      <c r="P863" t="s">
        <v>68</v>
      </c>
      <c r="Q863" t="s">
        <v>69</v>
      </c>
      <c r="R863">
        <v>966.86</v>
      </c>
      <c r="S863">
        <v>10</v>
      </c>
      <c r="T863">
        <v>0.1</v>
      </c>
      <c r="U863">
        <v>-23.08</v>
      </c>
    </row>
    <row r="864" spans="1:21" x14ac:dyDescent="0.35">
      <c r="A864" t="s">
        <v>4205</v>
      </c>
      <c r="B864" s="2">
        <v>43166</v>
      </c>
      <c r="C864" s="2" t="str">
        <f t="shared" si="26"/>
        <v>March</v>
      </c>
      <c r="D864" s="2" t="str">
        <f t="shared" si="27"/>
        <v>2018</v>
      </c>
      <c r="E864" s="2" t="s">
        <v>6317</v>
      </c>
      <c r="F864" t="s">
        <v>52</v>
      </c>
      <c r="G864" t="s">
        <v>4206</v>
      </c>
      <c r="H864" t="s">
        <v>4207</v>
      </c>
      <c r="I864" t="s">
        <v>35</v>
      </c>
      <c r="J864" t="s">
        <v>24</v>
      </c>
      <c r="K864" t="s">
        <v>97</v>
      </c>
      <c r="L864" t="s">
        <v>115</v>
      </c>
      <c r="M864" t="s">
        <v>74</v>
      </c>
      <c r="N864" t="s">
        <v>4208</v>
      </c>
      <c r="O864" t="s">
        <v>48</v>
      </c>
      <c r="P864" t="s">
        <v>128</v>
      </c>
      <c r="Q864" t="s">
        <v>4209</v>
      </c>
      <c r="R864">
        <v>1066.76</v>
      </c>
      <c r="S864">
        <v>10</v>
      </c>
      <c r="T864">
        <v>0</v>
      </c>
      <c r="U864">
        <v>54.52</v>
      </c>
    </row>
    <row r="865" spans="1:21" x14ac:dyDescent="0.35">
      <c r="A865" t="s">
        <v>4210</v>
      </c>
      <c r="B865" s="2">
        <v>43648</v>
      </c>
      <c r="C865" s="2" t="str">
        <f t="shared" si="26"/>
        <v>July</v>
      </c>
      <c r="D865" s="2" t="str">
        <f t="shared" si="27"/>
        <v>2019</v>
      </c>
      <c r="E865" s="2">
        <v>43806</v>
      </c>
      <c r="F865" t="s">
        <v>20</v>
      </c>
      <c r="G865" t="s">
        <v>4211</v>
      </c>
      <c r="H865" t="s">
        <v>4212</v>
      </c>
      <c r="I865" t="s">
        <v>23</v>
      </c>
      <c r="J865" t="s">
        <v>24</v>
      </c>
      <c r="K865" t="s">
        <v>36</v>
      </c>
      <c r="L865" t="s">
        <v>56</v>
      </c>
      <c r="M865" t="s">
        <v>57</v>
      </c>
      <c r="N865" t="s">
        <v>4213</v>
      </c>
      <c r="O865" t="s">
        <v>48</v>
      </c>
      <c r="P865" t="s">
        <v>76</v>
      </c>
      <c r="Q865" t="s">
        <v>4214</v>
      </c>
      <c r="R865">
        <v>423.97</v>
      </c>
      <c r="S865">
        <v>8</v>
      </c>
      <c r="T865">
        <v>0.4</v>
      </c>
      <c r="U865">
        <v>-37.14</v>
      </c>
    </row>
    <row r="866" spans="1:21" x14ac:dyDescent="0.35">
      <c r="A866" t="s">
        <v>4215</v>
      </c>
      <c r="B866" s="2">
        <v>43787</v>
      </c>
      <c r="C866" s="2" t="str">
        <f t="shared" si="26"/>
        <v>November</v>
      </c>
      <c r="D866" s="2" t="str">
        <f t="shared" si="27"/>
        <v>2019</v>
      </c>
      <c r="E866" s="2" t="s">
        <v>6254</v>
      </c>
      <c r="F866" t="s">
        <v>52</v>
      </c>
      <c r="G866" t="s">
        <v>163</v>
      </c>
      <c r="H866" t="s">
        <v>4216</v>
      </c>
      <c r="I866" t="s">
        <v>35</v>
      </c>
      <c r="J866" t="s">
        <v>24</v>
      </c>
      <c r="K866" t="s">
        <v>36</v>
      </c>
      <c r="L866" t="s">
        <v>65</v>
      </c>
      <c r="M866" t="s">
        <v>27</v>
      </c>
      <c r="N866" t="s">
        <v>4217</v>
      </c>
      <c r="O866" t="s">
        <v>67</v>
      </c>
      <c r="P866" t="s">
        <v>350</v>
      </c>
      <c r="Q866" t="s">
        <v>4218</v>
      </c>
      <c r="R866">
        <v>832.87</v>
      </c>
      <c r="S866">
        <v>7</v>
      </c>
      <c r="T866">
        <v>0</v>
      </c>
      <c r="U866">
        <v>-221.35</v>
      </c>
    </row>
    <row r="867" spans="1:21" x14ac:dyDescent="0.35">
      <c r="A867" t="s">
        <v>4219</v>
      </c>
      <c r="B867" s="2">
        <v>43138</v>
      </c>
      <c r="C867" s="2" t="str">
        <f t="shared" si="26"/>
        <v>February</v>
      </c>
      <c r="D867" s="2" t="str">
        <f t="shared" si="27"/>
        <v>2018</v>
      </c>
      <c r="E867" s="2">
        <v>43314</v>
      </c>
      <c r="F867" t="s">
        <v>20</v>
      </c>
      <c r="G867" t="s">
        <v>4220</v>
      </c>
      <c r="H867" t="s">
        <v>4221</v>
      </c>
      <c r="I867" t="s">
        <v>35</v>
      </c>
      <c r="J867" t="s">
        <v>24</v>
      </c>
      <c r="K867" t="s">
        <v>25</v>
      </c>
      <c r="L867" t="s">
        <v>46</v>
      </c>
      <c r="M867" t="s">
        <v>74</v>
      </c>
      <c r="N867" t="s">
        <v>4222</v>
      </c>
      <c r="O867" t="s">
        <v>48</v>
      </c>
      <c r="P867" t="s">
        <v>59</v>
      </c>
      <c r="Q867" t="s">
        <v>4223</v>
      </c>
      <c r="R867">
        <v>452.15</v>
      </c>
      <c r="S867">
        <v>6</v>
      </c>
      <c r="T867">
        <v>0.4</v>
      </c>
      <c r="U867">
        <v>117.97</v>
      </c>
    </row>
    <row r="868" spans="1:21" x14ac:dyDescent="0.35">
      <c r="A868" t="s">
        <v>4224</v>
      </c>
      <c r="B868" s="2">
        <v>43493</v>
      </c>
      <c r="C868" s="2" t="str">
        <f t="shared" si="26"/>
        <v>January</v>
      </c>
      <c r="D868" s="2" t="str">
        <f t="shared" si="27"/>
        <v>2019</v>
      </c>
      <c r="E868" s="2" t="s">
        <v>5956</v>
      </c>
      <c r="F868" t="s">
        <v>62</v>
      </c>
      <c r="G868" t="s">
        <v>4225</v>
      </c>
      <c r="H868" t="s">
        <v>4226</v>
      </c>
      <c r="I868" t="s">
        <v>35</v>
      </c>
      <c r="J868" t="s">
        <v>24</v>
      </c>
      <c r="K868" t="s">
        <v>212</v>
      </c>
      <c r="L868" t="s">
        <v>90</v>
      </c>
      <c r="M868" t="s">
        <v>27</v>
      </c>
      <c r="N868" t="s">
        <v>4227</v>
      </c>
      <c r="O868" t="s">
        <v>29</v>
      </c>
      <c r="P868" t="s">
        <v>30</v>
      </c>
      <c r="Q868" t="s">
        <v>1550</v>
      </c>
      <c r="R868">
        <v>1927.45</v>
      </c>
      <c r="S868">
        <v>3</v>
      </c>
      <c r="T868">
        <v>0</v>
      </c>
      <c r="U868">
        <v>109.33</v>
      </c>
    </row>
    <row r="869" spans="1:21" x14ac:dyDescent="0.35">
      <c r="A869" t="s">
        <v>4228</v>
      </c>
      <c r="B869" s="2">
        <v>43774</v>
      </c>
      <c r="C869" s="2" t="str">
        <f t="shared" si="26"/>
        <v>November</v>
      </c>
      <c r="D869" s="2" t="str">
        <f t="shared" si="27"/>
        <v>2019</v>
      </c>
      <c r="E869" s="2">
        <v>43657</v>
      </c>
      <c r="F869" t="s">
        <v>42</v>
      </c>
      <c r="G869" t="s">
        <v>890</v>
      </c>
      <c r="H869" t="s">
        <v>4229</v>
      </c>
      <c r="I869" t="s">
        <v>23</v>
      </c>
      <c r="J869" t="s">
        <v>24</v>
      </c>
      <c r="K869" t="s">
        <v>81</v>
      </c>
      <c r="L869" t="s">
        <v>170</v>
      </c>
      <c r="M869" t="s">
        <v>27</v>
      </c>
      <c r="N869" t="s">
        <v>4230</v>
      </c>
      <c r="O869" t="s">
        <v>29</v>
      </c>
      <c r="P869" t="s">
        <v>155</v>
      </c>
      <c r="Q869" t="s">
        <v>4231</v>
      </c>
      <c r="R869">
        <v>1816.85</v>
      </c>
      <c r="S869">
        <v>5</v>
      </c>
      <c r="T869">
        <v>0.3</v>
      </c>
      <c r="U869">
        <v>29.73</v>
      </c>
    </row>
    <row r="870" spans="1:21" x14ac:dyDescent="0.35">
      <c r="A870" t="s">
        <v>4232</v>
      </c>
      <c r="B870" s="2">
        <v>42708</v>
      </c>
      <c r="C870" s="2" t="str">
        <f t="shared" si="26"/>
        <v>December</v>
      </c>
      <c r="D870" s="2" t="str">
        <f t="shared" si="27"/>
        <v>2016</v>
      </c>
      <c r="E870" s="2">
        <v>42502</v>
      </c>
      <c r="F870" t="s">
        <v>42</v>
      </c>
      <c r="G870" t="s">
        <v>4233</v>
      </c>
      <c r="H870" t="s">
        <v>4046</v>
      </c>
      <c r="I870" t="s">
        <v>35</v>
      </c>
      <c r="J870" t="s">
        <v>24</v>
      </c>
      <c r="K870" t="s">
        <v>89</v>
      </c>
      <c r="L870" t="s">
        <v>90</v>
      </c>
      <c r="M870" t="s">
        <v>27</v>
      </c>
      <c r="N870" t="s">
        <v>4234</v>
      </c>
      <c r="O870" t="s">
        <v>29</v>
      </c>
      <c r="P870" t="s">
        <v>30</v>
      </c>
      <c r="Q870" t="s">
        <v>4235</v>
      </c>
      <c r="R870">
        <v>452.03</v>
      </c>
      <c r="S870">
        <v>9</v>
      </c>
      <c r="T870">
        <v>0.4</v>
      </c>
      <c r="U870">
        <v>-78.680000000000007</v>
      </c>
    </row>
    <row r="871" spans="1:21" x14ac:dyDescent="0.35">
      <c r="A871" t="s">
        <v>4236</v>
      </c>
      <c r="B871" s="2">
        <v>42632</v>
      </c>
      <c r="C871" s="2" t="str">
        <f t="shared" si="26"/>
        <v>September</v>
      </c>
      <c r="D871" s="2" t="str">
        <f t="shared" si="27"/>
        <v>2016</v>
      </c>
      <c r="E871" s="2" t="s">
        <v>6011</v>
      </c>
      <c r="F871" t="s">
        <v>52</v>
      </c>
      <c r="G871" t="s">
        <v>4237</v>
      </c>
      <c r="H871" t="s">
        <v>4238</v>
      </c>
      <c r="I871" t="s">
        <v>23</v>
      </c>
      <c r="J871" t="s">
        <v>24</v>
      </c>
      <c r="K871" t="s">
        <v>36</v>
      </c>
      <c r="L871" t="s">
        <v>46</v>
      </c>
      <c r="M871" t="s">
        <v>74</v>
      </c>
      <c r="N871" t="s">
        <v>4239</v>
      </c>
      <c r="O871" t="s">
        <v>29</v>
      </c>
      <c r="P871" t="s">
        <v>30</v>
      </c>
      <c r="Q871" t="s">
        <v>4240</v>
      </c>
      <c r="R871">
        <v>735.03</v>
      </c>
      <c r="S871">
        <v>6</v>
      </c>
      <c r="T871">
        <v>0.4</v>
      </c>
      <c r="U871">
        <v>77.489999999999995</v>
      </c>
    </row>
    <row r="872" spans="1:21" x14ac:dyDescent="0.35">
      <c r="A872" t="s">
        <v>4241</v>
      </c>
      <c r="B872" s="2">
        <v>43254</v>
      </c>
      <c r="C872" s="2" t="str">
        <f t="shared" si="26"/>
        <v>June</v>
      </c>
      <c r="D872" s="2" t="str">
        <f t="shared" si="27"/>
        <v>2018</v>
      </c>
      <c r="E872" s="2" t="s">
        <v>6108</v>
      </c>
      <c r="F872" t="s">
        <v>62</v>
      </c>
      <c r="G872" t="s">
        <v>4242</v>
      </c>
      <c r="H872" t="s">
        <v>4243</v>
      </c>
      <c r="I872" t="s">
        <v>55</v>
      </c>
      <c r="J872" t="s">
        <v>24</v>
      </c>
      <c r="K872" t="s">
        <v>36</v>
      </c>
      <c r="L872" t="s">
        <v>65</v>
      </c>
      <c r="M872" t="s">
        <v>27</v>
      </c>
      <c r="N872" t="s">
        <v>4244</v>
      </c>
      <c r="O872" t="s">
        <v>67</v>
      </c>
      <c r="P872" t="s">
        <v>117</v>
      </c>
      <c r="Q872" t="s">
        <v>4245</v>
      </c>
      <c r="R872">
        <v>1637.81</v>
      </c>
      <c r="S872">
        <v>10</v>
      </c>
      <c r="T872">
        <v>0.4</v>
      </c>
      <c r="U872">
        <v>596.35</v>
      </c>
    </row>
    <row r="873" spans="1:21" x14ac:dyDescent="0.35">
      <c r="A873" t="s">
        <v>4246</v>
      </c>
      <c r="B873" s="2">
        <v>43025</v>
      </c>
      <c r="C873" s="2" t="str">
        <f t="shared" si="26"/>
        <v>October</v>
      </c>
      <c r="D873" s="2" t="str">
        <f t="shared" si="27"/>
        <v>2017</v>
      </c>
      <c r="E873" s="2" t="s">
        <v>6115</v>
      </c>
      <c r="F873" t="s">
        <v>52</v>
      </c>
      <c r="G873" t="s">
        <v>4247</v>
      </c>
      <c r="H873" t="s">
        <v>4248</v>
      </c>
      <c r="I873" t="s">
        <v>35</v>
      </c>
      <c r="J873" t="s">
        <v>24</v>
      </c>
      <c r="K873" t="s">
        <v>103</v>
      </c>
      <c r="L873" t="s">
        <v>90</v>
      </c>
      <c r="M873" t="s">
        <v>83</v>
      </c>
      <c r="N873" t="s">
        <v>4249</v>
      </c>
      <c r="O873" t="s">
        <v>48</v>
      </c>
      <c r="P873" t="s">
        <v>128</v>
      </c>
      <c r="Q873" t="s">
        <v>4250</v>
      </c>
      <c r="R873">
        <v>263.88</v>
      </c>
      <c r="S873">
        <v>8</v>
      </c>
      <c r="T873">
        <v>0</v>
      </c>
      <c r="U873">
        <v>70.84</v>
      </c>
    </row>
    <row r="874" spans="1:21" x14ac:dyDescent="0.35">
      <c r="A874" t="s">
        <v>4251</v>
      </c>
      <c r="B874" s="2">
        <v>42847</v>
      </c>
      <c r="C874" s="2" t="str">
        <f t="shared" si="26"/>
        <v>April</v>
      </c>
      <c r="D874" s="2" t="str">
        <f t="shared" si="27"/>
        <v>2017</v>
      </c>
      <c r="E874" s="2" t="s">
        <v>5976</v>
      </c>
      <c r="F874" t="s">
        <v>20</v>
      </c>
      <c r="G874" t="s">
        <v>4252</v>
      </c>
      <c r="H874" t="s">
        <v>4253</v>
      </c>
      <c r="I874" t="s">
        <v>35</v>
      </c>
      <c r="J874" t="s">
        <v>24</v>
      </c>
      <c r="K874" t="s">
        <v>36</v>
      </c>
      <c r="L874" t="s">
        <v>26</v>
      </c>
      <c r="M874" t="s">
        <v>57</v>
      </c>
      <c r="N874" t="s">
        <v>4254</v>
      </c>
      <c r="O874" t="s">
        <v>29</v>
      </c>
      <c r="P874" t="s">
        <v>39</v>
      </c>
      <c r="Q874" t="s">
        <v>1318</v>
      </c>
      <c r="R874">
        <v>421.83</v>
      </c>
      <c r="S874">
        <v>4</v>
      </c>
      <c r="T874">
        <v>0</v>
      </c>
      <c r="U874">
        <v>169.4</v>
      </c>
    </row>
    <row r="875" spans="1:21" x14ac:dyDescent="0.35">
      <c r="A875" t="s">
        <v>4255</v>
      </c>
      <c r="B875" s="2">
        <v>43744</v>
      </c>
      <c r="C875" s="2" t="str">
        <f t="shared" si="26"/>
        <v>October</v>
      </c>
      <c r="D875" s="2" t="str">
        <f t="shared" si="27"/>
        <v>2019</v>
      </c>
      <c r="E875" s="2">
        <v>43779</v>
      </c>
      <c r="F875" t="s">
        <v>20</v>
      </c>
      <c r="G875" t="s">
        <v>4256</v>
      </c>
      <c r="H875" t="s">
        <v>4257</v>
      </c>
      <c r="I875" t="s">
        <v>35</v>
      </c>
      <c r="J875" t="s">
        <v>24</v>
      </c>
      <c r="K875" t="s">
        <v>45</v>
      </c>
      <c r="L875" t="s">
        <v>115</v>
      </c>
      <c r="M875" t="s">
        <v>27</v>
      </c>
      <c r="N875" t="s">
        <v>4258</v>
      </c>
      <c r="O875" t="s">
        <v>67</v>
      </c>
      <c r="P875" t="s">
        <v>350</v>
      </c>
      <c r="Q875" t="s">
        <v>4259</v>
      </c>
      <c r="R875">
        <v>1617.52</v>
      </c>
      <c r="S875">
        <v>4</v>
      </c>
      <c r="T875">
        <v>0</v>
      </c>
      <c r="U875">
        <v>37.619999999999997</v>
      </c>
    </row>
    <row r="876" spans="1:21" x14ac:dyDescent="0.35">
      <c r="A876" t="s">
        <v>4260</v>
      </c>
      <c r="B876" s="2">
        <v>42838</v>
      </c>
      <c r="C876" s="2" t="str">
        <f t="shared" si="26"/>
        <v>April</v>
      </c>
      <c r="D876" s="2" t="str">
        <f t="shared" si="27"/>
        <v>2017</v>
      </c>
      <c r="E876" s="2" t="s">
        <v>5985</v>
      </c>
      <c r="F876" t="s">
        <v>52</v>
      </c>
      <c r="G876" t="s">
        <v>4261</v>
      </c>
      <c r="H876" t="s">
        <v>4262</v>
      </c>
      <c r="I876" t="s">
        <v>55</v>
      </c>
      <c r="J876" t="s">
        <v>24</v>
      </c>
      <c r="K876" t="s">
        <v>133</v>
      </c>
      <c r="L876" t="s">
        <v>36</v>
      </c>
      <c r="M876" t="s">
        <v>57</v>
      </c>
      <c r="N876" t="s">
        <v>4263</v>
      </c>
      <c r="O876" t="s">
        <v>48</v>
      </c>
      <c r="P876" t="s">
        <v>128</v>
      </c>
      <c r="Q876" t="s">
        <v>4264</v>
      </c>
      <c r="R876">
        <v>951.15</v>
      </c>
      <c r="S876">
        <v>2</v>
      </c>
      <c r="T876">
        <v>0.3</v>
      </c>
      <c r="U876">
        <v>-35.630000000000003</v>
      </c>
    </row>
    <row r="877" spans="1:21" x14ac:dyDescent="0.35">
      <c r="A877" t="s">
        <v>4265</v>
      </c>
      <c r="B877" s="2">
        <v>43675</v>
      </c>
      <c r="C877" s="2" t="str">
        <f t="shared" si="26"/>
        <v>July</v>
      </c>
      <c r="D877" s="2" t="str">
        <f t="shared" si="27"/>
        <v>2019</v>
      </c>
      <c r="E877" s="2">
        <v>43563</v>
      </c>
      <c r="F877" t="s">
        <v>20</v>
      </c>
      <c r="G877" t="s">
        <v>4266</v>
      </c>
      <c r="H877" t="s">
        <v>4267</v>
      </c>
      <c r="I877" t="s">
        <v>35</v>
      </c>
      <c r="J877" t="s">
        <v>24</v>
      </c>
      <c r="K877" t="s">
        <v>97</v>
      </c>
      <c r="L877" t="s">
        <v>115</v>
      </c>
      <c r="M877" t="s">
        <v>74</v>
      </c>
      <c r="N877" t="s">
        <v>4268</v>
      </c>
      <c r="O877" t="s">
        <v>48</v>
      </c>
      <c r="P877" t="s">
        <v>128</v>
      </c>
      <c r="Q877" t="s">
        <v>4269</v>
      </c>
      <c r="R877">
        <v>1602.84</v>
      </c>
      <c r="S877">
        <v>5</v>
      </c>
      <c r="T877">
        <v>0.2</v>
      </c>
      <c r="U877">
        <v>573.53</v>
      </c>
    </row>
    <row r="878" spans="1:21" x14ac:dyDescent="0.35">
      <c r="A878" t="s">
        <v>4270</v>
      </c>
      <c r="B878" s="2">
        <v>43625</v>
      </c>
      <c r="C878" s="2" t="str">
        <f t="shared" si="26"/>
        <v>June</v>
      </c>
      <c r="D878" s="2" t="str">
        <f t="shared" si="27"/>
        <v>2019</v>
      </c>
      <c r="E878" s="2" t="s">
        <v>6357</v>
      </c>
      <c r="F878" t="s">
        <v>20</v>
      </c>
      <c r="G878" t="s">
        <v>4271</v>
      </c>
      <c r="H878" t="s">
        <v>4272</v>
      </c>
      <c r="I878" t="s">
        <v>23</v>
      </c>
      <c r="J878" t="s">
        <v>24</v>
      </c>
      <c r="K878" t="s">
        <v>36</v>
      </c>
      <c r="L878" t="s">
        <v>82</v>
      </c>
      <c r="M878" t="s">
        <v>74</v>
      </c>
      <c r="N878" t="s">
        <v>4273</v>
      </c>
      <c r="O878" t="s">
        <v>29</v>
      </c>
      <c r="P878" t="s">
        <v>110</v>
      </c>
      <c r="Q878" t="s">
        <v>4274</v>
      </c>
      <c r="R878">
        <v>770.83</v>
      </c>
      <c r="S878">
        <v>6</v>
      </c>
      <c r="T878">
        <v>0</v>
      </c>
      <c r="U878">
        <v>376.32</v>
      </c>
    </row>
    <row r="879" spans="1:21" x14ac:dyDescent="0.35">
      <c r="A879" t="s">
        <v>4275</v>
      </c>
      <c r="B879" s="2">
        <v>42769</v>
      </c>
      <c r="C879" s="2" t="str">
        <f t="shared" si="26"/>
        <v>February</v>
      </c>
      <c r="D879" s="2" t="str">
        <f t="shared" si="27"/>
        <v>2017</v>
      </c>
      <c r="E879" s="2">
        <v>42949</v>
      </c>
      <c r="F879" t="s">
        <v>62</v>
      </c>
      <c r="G879" t="s">
        <v>4276</v>
      </c>
      <c r="H879" t="s">
        <v>1008</v>
      </c>
      <c r="I879" t="s">
        <v>23</v>
      </c>
      <c r="J879" t="s">
        <v>24</v>
      </c>
      <c r="K879" t="s">
        <v>73</v>
      </c>
      <c r="L879" t="s">
        <v>90</v>
      </c>
      <c r="M879" t="s">
        <v>57</v>
      </c>
      <c r="N879" t="s">
        <v>4277</v>
      </c>
      <c r="O879" t="s">
        <v>29</v>
      </c>
      <c r="P879" t="s">
        <v>110</v>
      </c>
      <c r="Q879" t="s">
        <v>4278</v>
      </c>
      <c r="R879">
        <v>178.9</v>
      </c>
      <c r="S879">
        <v>5</v>
      </c>
      <c r="T879">
        <v>0.1</v>
      </c>
      <c r="U879">
        <v>63.49</v>
      </c>
    </row>
    <row r="880" spans="1:21" x14ac:dyDescent="0.35">
      <c r="A880" t="s">
        <v>4279</v>
      </c>
      <c r="B880" s="2">
        <v>43312</v>
      </c>
      <c r="C880" s="2" t="str">
        <f t="shared" si="26"/>
        <v>July</v>
      </c>
      <c r="D880" s="2" t="str">
        <f t="shared" si="27"/>
        <v>2018</v>
      </c>
      <c r="E880" s="2">
        <v>43381</v>
      </c>
      <c r="F880" t="s">
        <v>42</v>
      </c>
      <c r="G880" t="s">
        <v>4280</v>
      </c>
      <c r="H880" t="s">
        <v>4281</v>
      </c>
      <c r="I880" t="s">
        <v>35</v>
      </c>
      <c r="J880" t="s">
        <v>24</v>
      </c>
      <c r="K880" t="s">
        <v>212</v>
      </c>
      <c r="L880" t="s">
        <v>65</v>
      </c>
      <c r="M880" t="s">
        <v>83</v>
      </c>
      <c r="N880" t="s">
        <v>4282</v>
      </c>
      <c r="O880" t="s">
        <v>29</v>
      </c>
      <c r="P880" t="s">
        <v>110</v>
      </c>
      <c r="Q880" t="s">
        <v>4283</v>
      </c>
      <c r="R880">
        <v>178</v>
      </c>
      <c r="S880">
        <v>2</v>
      </c>
      <c r="T880">
        <v>0.3</v>
      </c>
      <c r="U880">
        <v>3.56</v>
      </c>
    </row>
    <row r="881" spans="1:21" x14ac:dyDescent="0.35">
      <c r="A881" t="s">
        <v>4284</v>
      </c>
      <c r="B881" s="2">
        <v>42719</v>
      </c>
      <c r="C881" s="2" t="str">
        <f t="shared" si="26"/>
        <v>December</v>
      </c>
      <c r="D881" s="2" t="str">
        <f t="shared" si="27"/>
        <v>2016</v>
      </c>
      <c r="E881" s="2" t="s">
        <v>6132</v>
      </c>
      <c r="F881" t="s">
        <v>62</v>
      </c>
      <c r="G881" t="s">
        <v>4285</v>
      </c>
      <c r="H881" t="s">
        <v>4286</v>
      </c>
      <c r="I881" t="s">
        <v>55</v>
      </c>
      <c r="J881" t="s">
        <v>24</v>
      </c>
      <c r="K881" t="s">
        <v>89</v>
      </c>
      <c r="L881" t="s">
        <v>170</v>
      </c>
      <c r="M881" t="s">
        <v>74</v>
      </c>
      <c r="N881" t="s">
        <v>4287</v>
      </c>
      <c r="O881" t="s">
        <v>67</v>
      </c>
      <c r="P881" t="s">
        <v>117</v>
      </c>
      <c r="Q881" t="s">
        <v>4288</v>
      </c>
      <c r="R881">
        <v>1315.39</v>
      </c>
      <c r="S881">
        <v>6</v>
      </c>
      <c r="T881">
        <v>0.2</v>
      </c>
      <c r="U881">
        <v>572.86</v>
      </c>
    </row>
    <row r="882" spans="1:21" x14ac:dyDescent="0.35">
      <c r="A882" t="s">
        <v>4289</v>
      </c>
      <c r="B882" s="2">
        <v>42370</v>
      </c>
      <c r="C882" s="2" t="str">
        <f t="shared" si="26"/>
        <v>January</v>
      </c>
      <c r="D882" s="2" t="str">
        <f t="shared" si="27"/>
        <v>2016</v>
      </c>
      <c r="E882" s="2">
        <v>42614</v>
      </c>
      <c r="F882" t="s">
        <v>20</v>
      </c>
      <c r="G882" t="s">
        <v>4290</v>
      </c>
      <c r="H882" t="s">
        <v>3184</v>
      </c>
      <c r="I882" t="s">
        <v>23</v>
      </c>
      <c r="J882" t="s">
        <v>24</v>
      </c>
      <c r="K882" t="s">
        <v>133</v>
      </c>
      <c r="L882" t="s">
        <v>170</v>
      </c>
      <c r="M882" t="s">
        <v>57</v>
      </c>
      <c r="N882" t="s">
        <v>4291</v>
      </c>
      <c r="O882" t="s">
        <v>48</v>
      </c>
      <c r="P882" t="s">
        <v>49</v>
      </c>
      <c r="Q882" t="s">
        <v>2514</v>
      </c>
      <c r="R882">
        <v>245.67</v>
      </c>
      <c r="S882">
        <v>2</v>
      </c>
      <c r="T882">
        <v>0.2</v>
      </c>
      <c r="U882">
        <v>-45.85</v>
      </c>
    </row>
    <row r="883" spans="1:21" x14ac:dyDescent="0.35">
      <c r="A883" t="s">
        <v>4292</v>
      </c>
      <c r="B883" s="2">
        <v>43571</v>
      </c>
      <c r="C883" s="2" t="str">
        <f t="shared" si="26"/>
        <v>April</v>
      </c>
      <c r="D883" s="2" t="str">
        <f t="shared" si="27"/>
        <v>2019</v>
      </c>
      <c r="E883" s="2" t="s">
        <v>6031</v>
      </c>
      <c r="F883" t="s">
        <v>52</v>
      </c>
      <c r="G883" t="s">
        <v>4293</v>
      </c>
      <c r="H883" t="s">
        <v>4294</v>
      </c>
      <c r="I883" t="s">
        <v>23</v>
      </c>
      <c r="J883" t="s">
        <v>24</v>
      </c>
      <c r="K883" t="s">
        <v>212</v>
      </c>
      <c r="L883" t="s">
        <v>170</v>
      </c>
      <c r="M883" t="s">
        <v>83</v>
      </c>
      <c r="N883" t="s">
        <v>4295</v>
      </c>
      <c r="O883" t="s">
        <v>29</v>
      </c>
      <c r="P883" t="s">
        <v>155</v>
      </c>
      <c r="Q883" t="s">
        <v>4296</v>
      </c>
      <c r="R883">
        <v>692.49</v>
      </c>
      <c r="S883">
        <v>10</v>
      </c>
      <c r="T883">
        <v>0.3</v>
      </c>
      <c r="U883">
        <v>-14.37</v>
      </c>
    </row>
    <row r="884" spans="1:21" x14ac:dyDescent="0.35">
      <c r="A884" t="s">
        <v>4297</v>
      </c>
      <c r="B884" s="2">
        <v>43314</v>
      </c>
      <c r="C884" s="2" t="str">
        <f t="shared" si="26"/>
        <v>August</v>
      </c>
      <c r="D884" s="2" t="str">
        <f t="shared" si="27"/>
        <v>2018</v>
      </c>
      <c r="E884" s="2">
        <v>43442</v>
      </c>
      <c r="F884" t="s">
        <v>20</v>
      </c>
      <c r="G884" t="s">
        <v>4298</v>
      </c>
      <c r="H884" t="s">
        <v>536</v>
      </c>
      <c r="I884" t="s">
        <v>23</v>
      </c>
      <c r="J884" t="s">
        <v>24</v>
      </c>
      <c r="K884" t="s">
        <v>81</v>
      </c>
      <c r="L884" t="s">
        <v>37</v>
      </c>
      <c r="M884" t="s">
        <v>83</v>
      </c>
      <c r="N884" t="s">
        <v>4299</v>
      </c>
      <c r="O884" t="s">
        <v>29</v>
      </c>
      <c r="P884" t="s">
        <v>39</v>
      </c>
      <c r="Q884" t="s">
        <v>4300</v>
      </c>
      <c r="R884">
        <v>29.87</v>
      </c>
      <c r="S884">
        <v>9</v>
      </c>
      <c r="T884">
        <v>0.1</v>
      </c>
      <c r="U884">
        <v>13.23</v>
      </c>
    </row>
    <row r="885" spans="1:21" x14ac:dyDescent="0.35">
      <c r="A885" t="s">
        <v>4301</v>
      </c>
      <c r="B885" s="2">
        <v>42527</v>
      </c>
      <c r="C885" s="2" t="str">
        <f t="shared" si="26"/>
        <v>June</v>
      </c>
      <c r="D885" s="2" t="str">
        <f t="shared" si="27"/>
        <v>2016</v>
      </c>
      <c r="E885" s="2" t="s">
        <v>5937</v>
      </c>
      <c r="F885" t="s">
        <v>42</v>
      </c>
      <c r="G885" t="s">
        <v>4302</v>
      </c>
      <c r="H885" t="s">
        <v>4303</v>
      </c>
      <c r="I885" t="s">
        <v>23</v>
      </c>
      <c r="J885" t="s">
        <v>24</v>
      </c>
      <c r="K885" t="s">
        <v>133</v>
      </c>
      <c r="L885" t="s">
        <v>115</v>
      </c>
      <c r="M885" t="s">
        <v>74</v>
      </c>
      <c r="N885" t="s">
        <v>4304</v>
      </c>
      <c r="O885" t="s">
        <v>29</v>
      </c>
      <c r="P885" t="s">
        <v>30</v>
      </c>
      <c r="Q885" t="s">
        <v>4305</v>
      </c>
      <c r="R885">
        <v>1876.72</v>
      </c>
      <c r="S885">
        <v>10</v>
      </c>
      <c r="T885">
        <v>0</v>
      </c>
      <c r="U885">
        <v>-243.21</v>
      </c>
    </row>
    <row r="886" spans="1:21" x14ac:dyDescent="0.35">
      <c r="A886" t="s">
        <v>4306</v>
      </c>
      <c r="B886" s="2">
        <v>43372</v>
      </c>
      <c r="C886" s="2" t="str">
        <f t="shared" si="26"/>
        <v>September</v>
      </c>
      <c r="D886" s="2" t="str">
        <f t="shared" si="27"/>
        <v>2018</v>
      </c>
      <c r="E886" s="2">
        <v>43110</v>
      </c>
      <c r="F886" t="s">
        <v>52</v>
      </c>
      <c r="G886" t="s">
        <v>4307</v>
      </c>
      <c r="H886" t="s">
        <v>4308</v>
      </c>
      <c r="I886" t="s">
        <v>23</v>
      </c>
      <c r="J886" t="s">
        <v>24</v>
      </c>
      <c r="K886" t="s">
        <v>25</v>
      </c>
      <c r="L886" t="s">
        <v>37</v>
      </c>
      <c r="M886" t="s">
        <v>74</v>
      </c>
      <c r="N886" t="s">
        <v>4309</v>
      </c>
      <c r="O886" t="s">
        <v>67</v>
      </c>
      <c r="P886" t="s">
        <v>117</v>
      </c>
      <c r="Q886" t="s">
        <v>4310</v>
      </c>
      <c r="R886">
        <v>739.85</v>
      </c>
      <c r="S886">
        <v>3</v>
      </c>
      <c r="T886">
        <v>0</v>
      </c>
      <c r="U886">
        <v>295.99</v>
      </c>
    </row>
    <row r="887" spans="1:21" x14ac:dyDescent="0.35">
      <c r="A887" t="s">
        <v>4311</v>
      </c>
      <c r="B887" s="2">
        <v>43453</v>
      </c>
      <c r="C887" s="2" t="str">
        <f t="shared" si="26"/>
        <v>December</v>
      </c>
      <c r="D887" s="2" t="str">
        <f t="shared" si="27"/>
        <v>2018</v>
      </c>
      <c r="E887" s="2" t="s">
        <v>5988</v>
      </c>
      <c r="F887" t="s">
        <v>62</v>
      </c>
      <c r="G887" t="s">
        <v>4312</v>
      </c>
      <c r="H887" t="s">
        <v>4313</v>
      </c>
      <c r="I887" t="s">
        <v>55</v>
      </c>
      <c r="J887" t="s">
        <v>24</v>
      </c>
      <c r="K887" t="s">
        <v>212</v>
      </c>
      <c r="L887" t="s">
        <v>46</v>
      </c>
      <c r="M887" t="s">
        <v>57</v>
      </c>
      <c r="N887" t="s">
        <v>4314</v>
      </c>
      <c r="O887" t="s">
        <v>48</v>
      </c>
      <c r="P887" t="s">
        <v>49</v>
      </c>
      <c r="Q887" t="s">
        <v>4315</v>
      </c>
      <c r="R887">
        <v>69.08</v>
      </c>
      <c r="S887">
        <v>1</v>
      </c>
      <c r="T887">
        <v>0.1</v>
      </c>
      <c r="U887">
        <v>30.95</v>
      </c>
    </row>
    <row r="888" spans="1:21" x14ac:dyDescent="0.35">
      <c r="A888" t="s">
        <v>4316</v>
      </c>
      <c r="B888" s="2">
        <v>43176</v>
      </c>
      <c r="C888" s="2" t="str">
        <f t="shared" si="26"/>
        <v>March</v>
      </c>
      <c r="D888" s="2" t="str">
        <f t="shared" si="27"/>
        <v>2018</v>
      </c>
      <c r="E888" s="2" t="s">
        <v>5996</v>
      </c>
      <c r="F888" t="s">
        <v>20</v>
      </c>
      <c r="G888" t="s">
        <v>4317</v>
      </c>
      <c r="H888" t="s">
        <v>4318</v>
      </c>
      <c r="I888" t="s">
        <v>35</v>
      </c>
      <c r="J888" t="s">
        <v>24</v>
      </c>
      <c r="K888" t="s">
        <v>36</v>
      </c>
      <c r="L888" t="s">
        <v>36</v>
      </c>
      <c r="M888" t="s">
        <v>83</v>
      </c>
      <c r="N888" t="s">
        <v>4319</v>
      </c>
      <c r="O888" t="s">
        <v>67</v>
      </c>
      <c r="P888" t="s">
        <v>197</v>
      </c>
      <c r="Q888" t="s">
        <v>3242</v>
      </c>
      <c r="R888">
        <v>1428.19</v>
      </c>
      <c r="S888">
        <v>10</v>
      </c>
      <c r="T888">
        <v>0</v>
      </c>
      <c r="U888">
        <v>690.23</v>
      </c>
    </row>
    <row r="889" spans="1:21" x14ac:dyDescent="0.35">
      <c r="A889" t="s">
        <v>4320</v>
      </c>
      <c r="B889" s="2">
        <v>43816</v>
      </c>
      <c r="C889" s="2" t="str">
        <f t="shared" si="26"/>
        <v>December</v>
      </c>
      <c r="D889" s="2" t="str">
        <f t="shared" si="27"/>
        <v>2019</v>
      </c>
      <c r="E889" s="2" t="s">
        <v>6073</v>
      </c>
      <c r="F889" t="s">
        <v>62</v>
      </c>
      <c r="G889" t="s">
        <v>4321</v>
      </c>
      <c r="H889" t="s">
        <v>4322</v>
      </c>
      <c r="I889" t="s">
        <v>55</v>
      </c>
      <c r="J889" t="s">
        <v>24</v>
      </c>
      <c r="K889" t="s">
        <v>89</v>
      </c>
      <c r="L889" t="s">
        <v>26</v>
      </c>
      <c r="M889" t="s">
        <v>83</v>
      </c>
      <c r="N889" t="s">
        <v>4323</v>
      </c>
      <c r="O889" t="s">
        <v>29</v>
      </c>
      <c r="P889" t="s">
        <v>39</v>
      </c>
      <c r="Q889" t="s">
        <v>4324</v>
      </c>
      <c r="R889">
        <v>438.93</v>
      </c>
      <c r="S889">
        <v>5</v>
      </c>
      <c r="T889">
        <v>0.3</v>
      </c>
      <c r="U889">
        <v>109.77</v>
      </c>
    </row>
    <row r="890" spans="1:21" x14ac:dyDescent="0.35">
      <c r="A890" t="s">
        <v>4325</v>
      </c>
      <c r="B890" s="2">
        <v>43582</v>
      </c>
      <c r="C890" s="2" t="str">
        <f t="shared" si="26"/>
        <v>April</v>
      </c>
      <c r="D890" s="2" t="str">
        <f t="shared" si="27"/>
        <v>2019</v>
      </c>
      <c r="E890" s="2">
        <v>43529</v>
      </c>
      <c r="F890" t="s">
        <v>42</v>
      </c>
      <c r="G890" t="s">
        <v>4326</v>
      </c>
      <c r="H890" t="s">
        <v>1964</v>
      </c>
      <c r="I890" t="s">
        <v>23</v>
      </c>
      <c r="J890" t="s">
        <v>24</v>
      </c>
      <c r="K890" t="s">
        <v>89</v>
      </c>
      <c r="L890" t="s">
        <v>82</v>
      </c>
      <c r="M890" t="s">
        <v>27</v>
      </c>
      <c r="N890" t="s">
        <v>4327</v>
      </c>
      <c r="O890" t="s">
        <v>67</v>
      </c>
      <c r="P890" t="s">
        <v>92</v>
      </c>
      <c r="Q890" t="s">
        <v>93</v>
      </c>
      <c r="R890">
        <v>997.62</v>
      </c>
      <c r="S890">
        <v>6</v>
      </c>
      <c r="T890">
        <v>0</v>
      </c>
      <c r="U890">
        <v>361.04</v>
      </c>
    </row>
    <row r="891" spans="1:21" x14ac:dyDescent="0.35">
      <c r="A891" t="s">
        <v>4328</v>
      </c>
      <c r="B891" s="2">
        <v>43128</v>
      </c>
      <c r="C891" s="2" t="str">
        <f t="shared" si="26"/>
        <v>January</v>
      </c>
      <c r="D891" s="2" t="str">
        <f t="shared" si="27"/>
        <v>2018</v>
      </c>
      <c r="E891" s="2">
        <v>43283</v>
      </c>
      <c r="F891" t="s">
        <v>62</v>
      </c>
      <c r="G891" t="s">
        <v>4329</v>
      </c>
      <c r="H891" t="s">
        <v>4330</v>
      </c>
      <c r="I891" t="s">
        <v>23</v>
      </c>
      <c r="J891" t="s">
        <v>24</v>
      </c>
      <c r="K891" t="s">
        <v>89</v>
      </c>
      <c r="L891" t="s">
        <v>170</v>
      </c>
      <c r="M891" t="s">
        <v>74</v>
      </c>
      <c r="N891" t="s">
        <v>4331</v>
      </c>
      <c r="O891" t="s">
        <v>67</v>
      </c>
      <c r="P891" t="s">
        <v>68</v>
      </c>
      <c r="Q891" t="s">
        <v>4332</v>
      </c>
      <c r="R891">
        <v>686.28</v>
      </c>
      <c r="S891">
        <v>5</v>
      </c>
      <c r="T891">
        <v>0.2</v>
      </c>
      <c r="U891">
        <v>-0.1</v>
      </c>
    </row>
    <row r="892" spans="1:21" x14ac:dyDescent="0.35">
      <c r="A892" t="s">
        <v>4333</v>
      </c>
      <c r="B892" s="2">
        <v>43064</v>
      </c>
      <c r="C892" s="2" t="str">
        <f t="shared" si="26"/>
        <v>November</v>
      </c>
      <c r="D892" s="2" t="str">
        <f t="shared" si="27"/>
        <v>2017</v>
      </c>
      <c r="E892" s="2">
        <v>42867</v>
      </c>
      <c r="F892" t="s">
        <v>20</v>
      </c>
      <c r="G892" t="s">
        <v>4334</v>
      </c>
      <c r="H892" t="s">
        <v>4335</v>
      </c>
      <c r="I892" t="s">
        <v>35</v>
      </c>
      <c r="J892" t="s">
        <v>24</v>
      </c>
      <c r="K892" t="s">
        <v>103</v>
      </c>
      <c r="L892" t="s">
        <v>37</v>
      </c>
      <c r="M892" t="s">
        <v>57</v>
      </c>
      <c r="N892" t="s">
        <v>4336</v>
      </c>
      <c r="O892" t="s">
        <v>67</v>
      </c>
      <c r="P892" t="s">
        <v>350</v>
      </c>
      <c r="Q892" t="s">
        <v>4337</v>
      </c>
      <c r="R892">
        <v>1871.28</v>
      </c>
      <c r="S892">
        <v>3</v>
      </c>
      <c r="T892">
        <v>0.1</v>
      </c>
      <c r="U892">
        <v>-423.7</v>
      </c>
    </row>
    <row r="893" spans="1:21" x14ac:dyDescent="0.35">
      <c r="A893" t="s">
        <v>4338</v>
      </c>
      <c r="B893" s="2">
        <v>43040</v>
      </c>
      <c r="C893" s="2" t="str">
        <f t="shared" si="26"/>
        <v>November</v>
      </c>
      <c r="D893" s="2" t="str">
        <f t="shared" si="27"/>
        <v>2017</v>
      </c>
      <c r="E893" s="2">
        <v>42989</v>
      </c>
      <c r="F893" t="s">
        <v>42</v>
      </c>
      <c r="G893" t="s">
        <v>4339</v>
      </c>
      <c r="H893" t="s">
        <v>4340</v>
      </c>
      <c r="I893" t="s">
        <v>35</v>
      </c>
      <c r="J893" t="s">
        <v>24</v>
      </c>
      <c r="K893" t="s">
        <v>81</v>
      </c>
      <c r="L893" t="s">
        <v>115</v>
      </c>
      <c r="M893" t="s">
        <v>74</v>
      </c>
      <c r="N893" t="s">
        <v>4341</v>
      </c>
      <c r="O893" t="s">
        <v>48</v>
      </c>
      <c r="P893" t="s">
        <v>59</v>
      </c>
      <c r="Q893" t="s">
        <v>4342</v>
      </c>
      <c r="R893">
        <v>991.09</v>
      </c>
      <c r="S893">
        <v>7</v>
      </c>
      <c r="T893">
        <v>0.3</v>
      </c>
      <c r="U893">
        <v>-147.72999999999999</v>
      </c>
    </row>
    <row r="894" spans="1:21" x14ac:dyDescent="0.35">
      <c r="A894" t="s">
        <v>4343</v>
      </c>
      <c r="B894" s="2">
        <v>42766</v>
      </c>
      <c r="C894" s="2" t="str">
        <f t="shared" si="26"/>
        <v>January</v>
      </c>
      <c r="D894" s="2" t="str">
        <f t="shared" si="27"/>
        <v>2017</v>
      </c>
      <c r="E894" s="2">
        <v>42768</v>
      </c>
      <c r="F894" t="s">
        <v>20</v>
      </c>
      <c r="G894" t="s">
        <v>4344</v>
      </c>
      <c r="H894" t="s">
        <v>4345</v>
      </c>
      <c r="I894" t="s">
        <v>23</v>
      </c>
      <c r="J894" t="s">
        <v>24</v>
      </c>
      <c r="K894" t="s">
        <v>45</v>
      </c>
      <c r="L894" t="s">
        <v>170</v>
      </c>
      <c r="M894" t="s">
        <v>83</v>
      </c>
      <c r="N894" t="s">
        <v>4346</v>
      </c>
      <c r="O894" t="s">
        <v>29</v>
      </c>
      <c r="P894" t="s">
        <v>155</v>
      </c>
      <c r="Q894" t="s">
        <v>4347</v>
      </c>
      <c r="R894">
        <v>832.99</v>
      </c>
      <c r="S894">
        <v>5</v>
      </c>
      <c r="T894">
        <v>0</v>
      </c>
      <c r="U894">
        <v>-137.61000000000001</v>
      </c>
    </row>
    <row r="895" spans="1:21" x14ac:dyDescent="0.35">
      <c r="A895" t="s">
        <v>4348</v>
      </c>
      <c r="B895" s="2">
        <v>43268</v>
      </c>
      <c r="C895" s="2" t="str">
        <f t="shared" si="26"/>
        <v>June</v>
      </c>
      <c r="D895" s="2" t="str">
        <f t="shared" si="27"/>
        <v>2018</v>
      </c>
      <c r="E895" s="2" t="s">
        <v>5973</v>
      </c>
      <c r="F895" t="s">
        <v>52</v>
      </c>
      <c r="G895" t="s">
        <v>4349</v>
      </c>
      <c r="H895" t="s">
        <v>4350</v>
      </c>
      <c r="I895" t="s">
        <v>55</v>
      </c>
      <c r="J895" t="s">
        <v>24</v>
      </c>
      <c r="K895" t="s">
        <v>212</v>
      </c>
      <c r="L895" t="s">
        <v>26</v>
      </c>
      <c r="M895" t="s">
        <v>74</v>
      </c>
      <c r="N895" t="s">
        <v>4351</v>
      </c>
      <c r="O895" t="s">
        <v>48</v>
      </c>
      <c r="P895" t="s">
        <v>49</v>
      </c>
      <c r="Q895" t="s">
        <v>4352</v>
      </c>
      <c r="R895">
        <v>1488.18</v>
      </c>
      <c r="S895">
        <v>6</v>
      </c>
      <c r="T895">
        <v>0.1</v>
      </c>
      <c r="U895">
        <v>51.62</v>
      </c>
    </row>
    <row r="896" spans="1:21" x14ac:dyDescent="0.35">
      <c r="A896" t="s">
        <v>4353</v>
      </c>
      <c r="B896" s="2">
        <v>43684</v>
      </c>
      <c r="C896" s="2" t="str">
        <f t="shared" si="26"/>
        <v>August</v>
      </c>
      <c r="D896" s="2" t="str">
        <f t="shared" si="27"/>
        <v>2019</v>
      </c>
      <c r="E896" s="2">
        <v>43685</v>
      </c>
      <c r="F896" t="s">
        <v>62</v>
      </c>
      <c r="G896" t="s">
        <v>4354</v>
      </c>
      <c r="H896" t="s">
        <v>4355</v>
      </c>
      <c r="I896" t="s">
        <v>55</v>
      </c>
      <c r="J896" t="s">
        <v>24</v>
      </c>
      <c r="K896" t="s">
        <v>81</v>
      </c>
      <c r="L896" t="s">
        <v>46</v>
      </c>
      <c r="M896" t="s">
        <v>74</v>
      </c>
      <c r="N896" t="s">
        <v>4356</v>
      </c>
      <c r="O896" t="s">
        <v>67</v>
      </c>
      <c r="P896" t="s">
        <v>92</v>
      </c>
      <c r="Q896" t="s">
        <v>4357</v>
      </c>
      <c r="R896">
        <v>864.87</v>
      </c>
      <c r="S896">
        <v>1</v>
      </c>
      <c r="T896">
        <v>0.3</v>
      </c>
      <c r="U896">
        <v>175.52</v>
      </c>
    </row>
    <row r="897" spans="1:21" x14ac:dyDescent="0.35">
      <c r="A897" t="s">
        <v>4358</v>
      </c>
      <c r="B897" s="2">
        <v>42597</v>
      </c>
      <c r="C897" s="2" t="str">
        <f t="shared" si="26"/>
        <v>August</v>
      </c>
      <c r="D897" s="2" t="str">
        <f t="shared" si="27"/>
        <v>2016</v>
      </c>
      <c r="E897" s="2" t="s">
        <v>6136</v>
      </c>
      <c r="F897" t="s">
        <v>20</v>
      </c>
      <c r="G897" t="s">
        <v>4359</v>
      </c>
      <c r="H897" t="s">
        <v>364</v>
      </c>
      <c r="I897" t="s">
        <v>35</v>
      </c>
      <c r="J897" t="s">
        <v>24</v>
      </c>
      <c r="K897" t="s">
        <v>36</v>
      </c>
      <c r="L897" t="s">
        <v>170</v>
      </c>
      <c r="M897" t="s">
        <v>83</v>
      </c>
      <c r="N897" t="s">
        <v>4360</v>
      </c>
      <c r="O897" t="s">
        <v>67</v>
      </c>
      <c r="P897" t="s">
        <v>68</v>
      </c>
      <c r="Q897" t="s">
        <v>4361</v>
      </c>
      <c r="R897">
        <v>542.94000000000005</v>
      </c>
      <c r="S897">
        <v>3</v>
      </c>
      <c r="T897">
        <v>0</v>
      </c>
      <c r="U897">
        <v>240.81</v>
      </c>
    </row>
    <row r="898" spans="1:21" x14ac:dyDescent="0.35">
      <c r="A898" t="s">
        <v>4362</v>
      </c>
      <c r="B898" s="2">
        <v>42527</v>
      </c>
      <c r="C898" s="2" t="str">
        <f t="shared" si="26"/>
        <v>June</v>
      </c>
      <c r="D898" s="2" t="str">
        <f t="shared" si="27"/>
        <v>2016</v>
      </c>
      <c r="E898" s="2">
        <v>42680</v>
      </c>
      <c r="F898" t="s">
        <v>42</v>
      </c>
      <c r="G898" t="s">
        <v>4363</v>
      </c>
      <c r="H898" t="s">
        <v>4364</v>
      </c>
      <c r="I898" t="s">
        <v>35</v>
      </c>
      <c r="J898" t="s">
        <v>24</v>
      </c>
      <c r="K898" t="s">
        <v>36</v>
      </c>
      <c r="L898" t="s">
        <v>46</v>
      </c>
      <c r="M898" t="s">
        <v>74</v>
      </c>
      <c r="N898" t="s">
        <v>4365</v>
      </c>
      <c r="O898" t="s">
        <v>48</v>
      </c>
      <c r="P898" t="s">
        <v>49</v>
      </c>
      <c r="Q898" t="s">
        <v>250</v>
      </c>
      <c r="R898">
        <v>1090.76</v>
      </c>
      <c r="S898">
        <v>1</v>
      </c>
      <c r="T898">
        <v>0.4</v>
      </c>
      <c r="U898">
        <v>508.9</v>
      </c>
    </row>
    <row r="899" spans="1:21" x14ac:dyDescent="0.35">
      <c r="A899" t="s">
        <v>4366</v>
      </c>
      <c r="B899" s="2">
        <v>42587</v>
      </c>
      <c r="C899" s="2" t="str">
        <f t="shared" ref="C899:C962" si="28">TEXT(B899,"mmmm")</f>
        <v>August</v>
      </c>
      <c r="D899" s="2" t="str">
        <f t="shared" ref="D899:D962" si="29">TEXT(B899,"yyyy")</f>
        <v>2016</v>
      </c>
      <c r="E899" s="2">
        <v>42621</v>
      </c>
      <c r="F899" t="s">
        <v>62</v>
      </c>
      <c r="G899" t="s">
        <v>4367</v>
      </c>
      <c r="H899" t="s">
        <v>4368</v>
      </c>
      <c r="I899" t="s">
        <v>55</v>
      </c>
      <c r="J899" t="s">
        <v>24</v>
      </c>
      <c r="K899" t="s">
        <v>36</v>
      </c>
      <c r="L899" t="s">
        <v>46</v>
      </c>
      <c r="M899" t="s">
        <v>57</v>
      </c>
      <c r="N899" t="s">
        <v>4369</v>
      </c>
      <c r="O899" t="s">
        <v>48</v>
      </c>
      <c r="P899" t="s">
        <v>59</v>
      </c>
      <c r="Q899" t="s">
        <v>1639</v>
      </c>
      <c r="R899">
        <v>118.75</v>
      </c>
      <c r="S899">
        <v>1</v>
      </c>
      <c r="T899">
        <v>0</v>
      </c>
      <c r="U899">
        <v>-12.3</v>
      </c>
    </row>
    <row r="900" spans="1:21" x14ac:dyDescent="0.35">
      <c r="A900" t="s">
        <v>4370</v>
      </c>
      <c r="B900" s="2">
        <v>42493</v>
      </c>
      <c r="C900" s="2" t="str">
        <f t="shared" si="28"/>
        <v>May</v>
      </c>
      <c r="D900" s="2" t="str">
        <f t="shared" si="29"/>
        <v>2016</v>
      </c>
      <c r="E900" s="2">
        <v>42648</v>
      </c>
      <c r="F900" t="s">
        <v>52</v>
      </c>
      <c r="G900" t="s">
        <v>4371</v>
      </c>
      <c r="H900" t="s">
        <v>4372</v>
      </c>
      <c r="I900" t="s">
        <v>23</v>
      </c>
      <c r="J900" t="s">
        <v>24</v>
      </c>
      <c r="K900" t="s">
        <v>36</v>
      </c>
      <c r="L900" t="s">
        <v>90</v>
      </c>
      <c r="M900" t="s">
        <v>83</v>
      </c>
      <c r="N900" t="s">
        <v>4373</v>
      </c>
      <c r="O900" t="s">
        <v>48</v>
      </c>
      <c r="P900" t="s">
        <v>49</v>
      </c>
      <c r="Q900" t="s">
        <v>4374</v>
      </c>
      <c r="R900">
        <v>1471.6</v>
      </c>
      <c r="S900">
        <v>8</v>
      </c>
      <c r="T900">
        <v>0</v>
      </c>
      <c r="U900">
        <v>-342.46</v>
      </c>
    </row>
    <row r="901" spans="1:21" x14ac:dyDescent="0.35">
      <c r="A901" t="s">
        <v>4375</v>
      </c>
      <c r="B901" s="2">
        <v>42720</v>
      </c>
      <c r="C901" s="2" t="str">
        <f t="shared" si="28"/>
        <v>December</v>
      </c>
      <c r="D901" s="2" t="str">
        <f t="shared" si="29"/>
        <v>2016</v>
      </c>
      <c r="E901" s="2" t="s">
        <v>6079</v>
      </c>
      <c r="F901" t="s">
        <v>62</v>
      </c>
      <c r="G901" t="s">
        <v>4376</v>
      </c>
      <c r="H901" t="s">
        <v>4377</v>
      </c>
      <c r="I901" t="s">
        <v>35</v>
      </c>
      <c r="J901" t="s">
        <v>24</v>
      </c>
      <c r="K901" t="s">
        <v>73</v>
      </c>
      <c r="L901" t="s">
        <v>26</v>
      </c>
      <c r="M901" t="s">
        <v>83</v>
      </c>
      <c r="N901" t="s">
        <v>4378</v>
      </c>
      <c r="O901" t="s">
        <v>48</v>
      </c>
      <c r="P901" t="s">
        <v>59</v>
      </c>
      <c r="Q901" t="s">
        <v>4007</v>
      </c>
      <c r="R901">
        <v>414.51</v>
      </c>
      <c r="S901">
        <v>5</v>
      </c>
      <c r="T901">
        <v>0.1</v>
      </c>
      <c r="U901">
        <v>47.46</v>
      </c>
    </row>
    <row r="902" spans="1:21" x14ac:dyDescent="0.35">
      <c r="A902" t="s">
        <v>4379</v>
      </c>
      <c r="B902" s="2">
        <v>42758</v>
      </c>
      <c r="C902" s="2" t="str">
        <f t="shared" si="28"/>
        <v>January</v>
      </c>
      <c r="D902" s="2" t="str">
        <f t="shared" si="29"/>
        <v>2017</v>
      </c>
      <c r="E902" s="2">
        <v>42768</v>
      </c>
      <c r="F902" t="s">
        <v>42</v>
      </c>
      <c r="G902" t="s">
        <v>4380</v>
      </c>
      <c r="H902" t="s">
        <v>4381</v>
      </c>
      <c r="I902" t="s">
        <v>23</v>
      </c>
      <c r="J902" t="s">
        <v>24</v>
      </c>
      <c r="K902" t="s">
        <v>36</v>
      </c>
      <c r="L902" t="s">
        <v>90</v>
      </c>
      <c r="M902" t="s">
        <v>57</v>
      </c>
      <c r="N902" t="s">
        <v>4382</v>
      </c>
      <c r="O902" t="s">
        <v>48</v>
      </c>
      <c r="P902" t="s">
        <v>59</v>
      </c>
      <c r="Q902" t="s">
        <v>4383</v>
      </c>
      <c r="R902">
        <v>318.31</v>
      </c>
      <c r="S902">
        <v>7</v>
      </c>
      <c r="T902">
        <v>0</v>
      </c>
      <c r="U902">
        <v>130</v>
      </c>
    </row>
    <row r="903" spans="1:21" x14ac:dyDescent="0.35">
      <c r="A903" t="s">
        <v>4384</v>
      </c>
      <c r="B903" s="2">
        <v>43514</v>
      </c>
      <c r="C903" s="2" t="str">
        <f t="shared" si="28"/>
        <v>February</v>
      </c>
      <c r="D903" s="2" t="str">
        <f t="shared" si="29"/>
        <v>2019</v>
      </c>
      <c r="E903" s="2" t="s">
        <v>6160</v>
      </c>
      <c r="F903" t="s">
        <v>20</v>
      </c>
      <c r="G903" t="s">
        <v>4252</v>
      </c>
      <c r="H903" t="s">
        <v>4385</v>
      </c>
      <c r="I903" t="s">
        <v>23</v>
      </c>
      <c r="J903" t="s">
        <v>24</v>
      </c>
      <c r="K903" t="s">
        <v>81</v>
      </c>
      <c r="L903" t="s">
        <v>65</v>
      </c>
      <c r="M903" t="s">
        <v>57</v>
      </c>
      <c r="N903" t="s">
        <v>4386</v>
      </c>
      <c r="O903" t="s">
        <v>67</v>
      </c>
      <c r="P903" t="s">
        <v>350</v>
      </c>
      <c r="Q903" t="s">
        <v>4387</v>
      </c>
      <c r="R903">
        <v>978.22</v>
      </c>
      <c r="S903">
        <v>9</v>
      </c>
      <c r="T903">
        <v>0.3</v>
      </c>
      <c r="U903">
        <v>95.23</v>
      </c>
    </row>
    <row r="904" spans="1:21" x14ac:dyDescent="0.35">
      <c r="A904" t="s">
        <v>4388</v>
      </c>
      <c r="B904" s="2">
        <v>42780</v>
      </c>
      <c r="C904" s="2" t="str">
        <f t="shared" si="28"/>
        <v>February</v>
      </c>
      <c r="D904" s="2" t="str">
        <f t="shared" si="29"/>
        <v>2017</v>
      </c>
      <c r="E904" s="2" t="s">
        <v>6166</v>
      </c>
      <c r="F904" t="s">
        <v>20</v>
      </c>
      <c r="G904" t="s">
        <v>4389</v>
      </c>
      <c r="H904" t="s">
        <v>4390</v>
      </c>
      <c r="I904" t="s">
        <v>35</v>
      </c>
      <c r="J904" t="s">
        <v>24</v>
      </c>
      <c r="K904" t="s">
        <v>81</v>
      </c>
      <c r="L904" t="s">
        <v>82</v>
      </c>
      <c r="M904" t="s">
        <v>83</v>
      </c>
      <c r="N904" t="s">
        <v>4391</v>
      </c>
      <c r="O904" t="s">
        <v>48</v>
      </c>
      <c r="P904" t="s">
        <v>128</v>
      </c>
      <c r="Q904" t="s">
        <v>4392</v>
      </c>
      <c r="R904">
        <v>922.53</v>
      </c>
      <c r="S904">
        <v>2</v>
      </c>
      <c r="T904">
        <v>0.2</v>
      </c>
      <c r="U904">
        <v>448.46</v>
      </c>
    </row>
    <row r="905" spans="1:21" x14ac:dyDescent="0.35">
      <c r="A905" t="s">
        <v>4393</v>
      </c>
      <c r="B905" s="2">
        <v>42732</v>
      </c>
      <c r="C905" s="2" t="str">
        <f t="shared" si="28"/>
        <v>December</v>
      </c>
      <c r="D905" s="2" t="str">
        <f t="shared" si="29"/>
        <v>2016</v>
      </c>
      <c r="E905" s="2">
        <v>42736</v>
      </c>
      <c r="F905" t="s">
        <v>62</v>
      </c>
      <c r="G905" t="s">
        <v>4394</v>
      </c>
      <c r="H905" t="s">
        <v>4395</v>
      </c>
      <c r="I905" t="s">
        <v>23</v>
      </c>
      <c r="J905" t="s">
        <v>24</v>
      </c>
      <c r="K905" t="s">
        <v>103</v>
      </c>
      <c r="L905" t="s">
        <v>170</v>
      </c>
      <c r="M905" t="s">
        <v>57</v>
      </c>
      <c r="N905" t="s">
        <v>4396</v>
      </c>
      <c r="O905" t="s">
        <v>29</v>
      </c>
      <c r="P905" t="s">
        <v>30</v>
      </c>
      <c r="Q905" t="s">
        <v>3819</v>
      </c>
      <c r="R905">
        <v>388.16</v>
      </c>
      <c r="S905">
        <v>1</v>
      </c>
      <c r="T905">
        <v>0.1</v>
      </c>
      <c r="U905">
        <v>81.66</v>
      </c>
    </row>
    <row r="906" spans="1:21" x14ac:dyDescent="0.35">
      <c r="A906" t="s">
        <v>4397</v>
      </c>
      <c r="B906" s="2">
        <v>43313</v>
      </c>
      <c r="C906" s="2" t="str">
        <f t="shared" si="28"/>
        <v>August</v>
      </c>
      <c r="D906" s="2" t="str">
        <f t="shared" si="29"/>
        <v>2018</v>
      </c>
      <c r="E906" s="2">
        <v>43381</v>
      </c>
      <c r="F906" t="s">
        <v>62</v>
      </c>
      <c r="G906" t="s">
        <v>4398</v>
      </c>
      <c r="H906" t="s">
        <v>4399</v>
      </c>
      <c r="I906" t="s">
        <v>23</v>
      </c>
      <c r="J906" t="s">
        <v>24</v>
      </c>
      <c r="K906" t="s">
        <v>73</v>
      </c>
      <c r="L906" t="s">
        <v>56</v>
      </c>
      <c r="M906" t="s">
        <v>57</v>
      </c>
      <c r="N906" t="s">
        <v>4400</v>
      </c>
      <c r="O906" t="s">
        <v>29</v>
      </c>
      <c r="P906" t="s">
        <v>39</v>
      </c>
      <c r="Q906" t="s">
        <v>4401</v>
      </c>
      <c r="R906">
        <v>720.11</v>
      </c>
      <c r="S906">
        <v>5</v>
      </c>
      <c r="T906">
        <v>0.4</v>
      </c>
      <c r="U906">
        <v>21.91</v>
      </c>
    </row>
    <row r="907" spans="1:21" x14ac:dyDescent="0.35">
      <c r="A907" t="s">
        <v>4402</v>
      </c>
      <c r="B907" s="2">
        <v>43588</v>
      </c>
      <c r="C907" s="2" t="str">
        <f t="shared" si="28"/>
        <v>May</v>
      </c>
      <c r="D907" s="2" t="str">
        <f t="shared" si="29"/>
        <v>2019</v>
      </c>
      <c r="E907" s="2">
        <v>43804</v>
      </c>
      <c r="F907" t="s">
        <v>62</v>
      </c>
      <c r="G907" t="s">
        <v>4403</v>
      </c>
      <c r="H907" t="s">
        <v>4404</v>
      </c>
      <c r="I907" t="s">
        <v>55</v>
      </c>
      <c r="J907" t="s">
        <v>24</v>
      </c>
      <c r="K907" t="s">
        <v>89</v>
      </c>
      <c r="L907" t="s">
        <v>115</v>
      </c>
      <c r="M907" t="s">
        <v>83</v>
      </c>
      <c r="N907" t="s">
        <v>4405</v>
      </c>
      <c r="O907" t="s">
        <v>48</v>
      </c>
      <c r="P907" t="s">
        <v>59</v>
      </c>
      <c r="Q907" t="s">
        <v>4406</v>
      </c>
      <c r="R907">
        <v>1616.66</v>
      </c>
      <c r="S907">
        <v>6</v>
      </c>
      <c r="T907">
        <v>0.3</v>
      </c>
      <c r="U907">
        <v>-460.53</v>
      </c>
    </row>
    <row r="908" spans="1:21" x14ac:dyDescent="0.35">
      <c r="A908" t="s">
        <v>4407</v>
      </c>
      <c r="B908" s="2">
        <v>42616</v>
      </c>
      <c r="C908" s="2" t="str">
        <f t="shared" si="28"/>
        <v>September</v>
      </c>
      <c r="D908" s="2" t="str">
        <f t="shared" si="29"/>
        <v>2016</v>
      </c>
      <c r="E908" s="2">
        <v>42683</v>
      </c>
      <c r="F908" t="s">
        <v>20</v>
      </c>
      <c r="G908" t="s">
        <v>4408</v>
      </c>
      <c r="H908" t="s">
        <v>4409</v>
      </c>
      <c r="I908" t="s">
        <v>35</v>
      </c>
      <c r="J908" t="s">
        <v>24</v>
      </c>
      <c r="K908" t="s">
        <v>89</v>
      </c>
      <c r="L908" t="s">
        <v>26</v>
      </c>
      <c r="M908" t="s">
        <v>74</v>
      </c>
      <c r="N908" t="s">
        <v>4410</v>
      </c>
      <c r="O908" t="s">
        <v>29</v>
      </c>
      <c r="P908" t="s">
        <v>110</v>
      </c>
      <c r="Q908" t="s">
        <v>4411</v>
      </c>
      <c r="R908">
        <v>533.08000000000004</v>
      </c>
      <c r="S908">
        <v>5</v>
      </c>
      <c r="T908">
        <v>0</v>
      </c>
      <c r="U908">
        <v>-153.01</v>
      </c>
    </row>
    <row r="909" spans="1:21" x14ac:dyDescent="0.35">
      <c r="A909" t="s">
        <v>4412</v>
      </c>
      <c r="B909" s="2">
        <v>43414</v>
      </c>
      <c r="C909" s="2" t="str">
        <f t="shared" si="28"/>
        <v>November</v>
      </c>
      <c r="D909" s="2" t="str">
        <f t="shared" si="29"/>
        <v>2018</v>
      </c>
      <c r="E909" s="2">
        <v>43415</v>
      </c>
      <c r="F909" t="s">
        <v>62</v>
      </c>
      <c r="G909" t="s">
        <v>4413</v>
      </c>
      <c r="H909" t="s">
        <v>4414</v>
      </c>
      <c r="I909" t="s">
        <v>35</v>
      </c>
      <c r="J909" t="s">
        <v>24</v>
      </c>
      <c r="K909" t="s">
        <v>81</v>
      </c>
      <c r="L909" t="s">
        <v>115</v>
      </c>
      <c r="M909" t="s">
        <v>74</v>
      </c>
      <c r="N909" t="s">
        <v>4415</v>
      </c>
      <c r="O909" t="s">
        <v>67</v>
      </c>
      <c r="P909" t="s">
        <v>68</v>
      </c>
      <c r="Q909" t="s">
        <v>4416</v>
      </c>
      <c r="R909">
        <v>802.59</v>
      </c>
      <c r="S909">
        <v>2</v>
      </c>
      <c r="T909">
        <v>0.2</v>
      </c>
      <c r="U909">
        <v>-227.8</v>
      </c>
    </row>
    <row r="910" spans="1:21" x14ac:dyDescent="0.35">
      <c r="A910" t="s">
        <v>4417</v>
      </c>
      <c r="B910" s="2">
        <v>43494</v>
      </c>
      <c r="C910" s="2" t="str">
        <f t="shared" si="28"/>
        <v>January</v>
      </c>
      <c r="D910" s="2" t="str">
        <f t="shared" si="29"/>
        <v>2019</v>
      </c>
      <c r="E910" s="2">
        <v>43679</v>
      </c>
      <c r="F910" t="s">
        <v>52</v>
      </c>
      <c r="G910" t="s">
        <v>4418</v>
      </c>
      <c r="H910" t="s">
        <v>4419</v>
      </c>
      <c r="I910" t="s">
        <v>35</v>
      </c>
      <c r="J910" t="s">
        <v>24</v>
      </c>
      <c r="K910" t="s">
        <v>45</v>
      </c>
      <c r="L910" t="s">
        <v>56</v>
      </c>
      <c r="M910" t="s">
        <v>83</v>
      </c>
      <c r="N910" t="s">
        <v>4420</v>
      </c>
      <c r="O910" t="s">
        <v>48</v>
      </c>
      <c r="P910" t="s">
        <v>128</v>
      </c>
      <c r="Q910" t="s">
        <v>4421</v>
      </c>
      <c r="R910">
        <v>936.85</v>
      </c>
      <c r="S910">
        <v>3</v>
      </c>
      <c r="T910">
        <v>0</v>
      </c>
      <c r="U910">
        <v>253.71</v>
      </c>
    </row>
    <row r="911" spans="1:21" x14ac:dyDescent="0.35">
      <c r="A911" t="s">
        <v>4422</v>
      </c>
      <c r="B911" s="2">
        <v>42649</v>
      </c>
      <c r="C911" s="2" t="str">
        <f t="shared" si="28"/>
        <v>October</v>
      </c>
      <c r="D911" s="2" t="str">
        <f t="shared" si="29"/>
        <v>2016</v>
      </c>
      <c r="E911" s="2">
        <v>42561</v>
      </c>
      <c r="F911" t="s">
        <v>52</v>
      </c>
      <c r="G911" t="s">
        <v>4423</v>
      </c>
      <c r="H911" t="s">
        <v>2870</v>
      </c>
      <c r="I911" t="s">
        <v>23</v>
      </c>
      <c r="J911" t="s">
        <v>24</v>
      </c>
      <c r="K911" t="s">
        <v>45</v>
      </c>
      <c r="L911" t="s">
        <v>170</v>
      </c>
      <c r="M911" t="s">
        <v>74</v>
      </c>
      <c r="N911" t="s">
        <v>4424</v>
      </c>
      <c r="O911" t="s">
        <v>29</v>
      </c>
      <c r="P911" t="s">
        <v>30</v>
      </c>
      <c r="Q911" t="s">
        <v>4425</v>
      </c>
      <c r="R911">
        <v>958.86</v>
      </c>
      <c r="S911">
        <v>2</v>
      </c>
      <c r="T911">
        <v>0</v>
      </c>
      <c r="U911">
        <v>452.11</v>
      </c>
    </row>
    <row r="912" spans="1:21" x14ac:dyDescent="0.35">
      <c r="A912" t="s">
        <v>4426</v>
      </c>
      <c r="B912" s="2">
        <v>42811</v>
      </c>
      <c r="C912" s="2" t="str">
        <f t="shared" si="28"/>
        <v>March</v>
      </c>
      <c r="D912" s="2" t="str">
        <f t="shared" si="29"/>
        <v>2017</v>
      </c>
      <c r="E912" s="2" t="s">
        <v>6066</v>
      </c>
      <c r="F912" t="s">
        <v>20</v>
      </c>
      <c r="G912" t="s">
        <v>4427</v>
      </c>
      <c r="H912" t="s">
        <v>4428</v>
      </c>
      <c r="I912" t="s">
        <v>35</v>
      </c>
      <c r="J912" t="s">
        <v>24</v>
      </c>
      <c r="K912" t="s">
        <v>25</v>
      </c>
      <c r="L912" t="s">
        <v>65</v>
      </c>
      <c r="M912" t="s">
        <v>27</v>
      </c>
      <c r="N912" t="s">
        <v>4429</v>
      </c>
      <c r="O912" t="s">
        <v>29</v>
      </c>
      <c r="P912" t="s">
        <v>30</v>
      </c>
      <c r="Q912" t="s">
        <v>4043</v>
      </c>
      <c r="R912">
        <v>593.39</v>
      </c>
      <c r="S912">
        <v>2</v>
      </c>
      <c r="T912">
        <v>0.3</v>
      </c>
      <c r="U912">
        <v>-163.95</v>
      </c>
    </row>
    <row r="913" spans="1:21" x14ac:dyDescent="0.35">
      <c r="A913" t="s">
        <v>4430</v>
      </c>
      <c r="B913" s="2">
        <v>42849</v>
      </c>
      <c r="C913" s="2" t="str">
        <f t="shared" si="28"/>
        <v>April</v>
      </c>
      <c r="D913" s="2" t="str">
        <f t="shared" si="29"/>
        <v>2017</v>
      </c>
      <c r="E913" s="2">
        <v>42830</v>
      </c>
      <c r="F913" t="s">
        <v>42</v>
      </c>
      <c r="G913" t="s">
        <v>4431</v>
      </c>
      <c r="H913" t="s">
        <v>4432</v>
      </c>
      <c r="I913" t="s">
        <v>23</v>
      </c>
      <c r="J913" t="s">
        <v>24</v>
      </c>
      <c r="K913" t="s">
        <v>133</v>
      </c>
      <c r="L913" t="s">
        <v>90</v>
      </c>
      <c r="M913" t="s">
        <v>83</v>
      </c>
      <c r="N913" t="s">
        <v>4433</v>
      </c>
      <c r="O913" t="s">
        <v>29</v>
      </c>
      <c r="P913" t="s">
        <v>39</v>
      </c>
      <c r="Q913" t="s">
        <v>3468</v>
      </c>
      <c r="R913">
        <v>1288.5999999999999</v>
      </c>
      <c r="S913">
        <v>10</v>
      </c>
      <c r="T913">
        <v>0</v>
      </c>
      <c r="U913">
        <v>-155.51</v>
      </c>
    </row>
    <row r="914" spans="1:21" x14ac:dyDescent="0.35">
      <c r="A914" t="s">
        <v>4434</v>
      </c>
      <c r="B914" s="2">
        <v>42389</v>
      </c>
      <c r="C914" s="2" t="str">
        <f t="shared" si="28"/>
        <v>January</v>
      </c>
      <c r="D914" s="2" t="str">
        <f t="shared" si="29"/>
        <v>2016</v>
      </c>
      <c r="E914" s="2" t="s">
        <v>6284</v>
      </c>
      <c r="F914" t="s">
        <v>62</v>
      </c>
      <c r="G914" t="s">
        <v>4435</v>
      </c>
      <c r="H914" t="s">
        <v>4436</v>
      </c>
      <c r="I914" t="s">
        <v>35</v>
      </c>
      <c r="J914" t="s">
        <v>24</v>
      </c>
      <c r="K914" t="s">
        <v>133</v>
      </c>
      <c r="L914" t="s">
        <v>56</v>
      </c>
      <c r="M914" t="s">
        <v>57</v>
      </c>
      <c r="N914" t="s">
        <v>4437</v>
      </c>
      <c r="O914" t="s">
        <v>48</v>
      </c>
      <c r="P914" t="s">
        <v>59</v>
      </c>
      <c r="Q914" t="s">
        <v>4438</v>
      </c>
      <c r="R914">
        <v>1434.46</v>
      </c>
      <c r="S914">
        <v>8</v>
      </c>
      <c r="T914">
        <v>0</v>
      </c>
      <c r="U914">
        <v>713.49</v>
      </c>
    </row>
    <row r="915" spans="1:21" x14ac:dyDescent="0.35">
      <c r="A915" t="s">
        <v>4439</v>
      </c>
      <c r="B915" s="2">
        <v>42991</v>
      </c>
      <c r="C915" s="2" t="str">
        <f t="shared" si="28"/>
        <v>September</v>
      </c>
      <c r="D915" s="2" t="str">
        <f t="shared" si="29"/>
        <v>2017</v>
      </c>
      <c r="E915" s="2" t="s">
        <v>6023</v>
      </c>
      <c r="F915" t="s">
        <v>62</v>
      </c>
      <c r="G915" t="s">
        <v>4440</v>
      </c>
      <c r="H915" t="s">
        <v>4428</v>
      </c>
      <c r="I915" t="s">
        <v>55</v>
      </c>
      <c r="J915" t="s">
        <v>24</v>
      </c>
      <c r="K915" t="s">
        <v>81</v>
      </c>
      <c r="L915" t="s">
        <v>82</v>
      </c>
      <c r="M915" t="s">
        <v>83</v>
      </c>
      <c r="N915" t="s">
        <v>4441</v>
      </c>
      <c r="O915" t="s">
        <v>67</v>
      </c>
      <c r="P915" t="s">
        <v>197</v>
      </c>
      <c r="Q915" t="s">
        <v>4442</v>
      </c>
      <c r="R915">
        <v>985.86</v>
      </c>
      <c r="S915">
        <v>6</v>
      </c>
      <c r="T915">
        <v>0.3</v>
      </c>
      <c r="U915">
        <v>-128.87</v>
      </c>
    </row>
    <row r="916" spans="1:21" x14ac:dyDescent="0.35">
      <c r="A916" t="s">
        <v>4443</v>
      </c>
      <c r="B916" s="2">
        <v>43697</v>
      </c>
      <c r="C916" s="2" t="str">
        <f t="shared" si="28"/>
        <v>August</v>
      </c>
      <c r="D916" s="2" t="str">
        <f t="shared" si="29"/>
        <v>2019</v>
      </c>
      <c r="E916" s="2" t="s">
        <v>6358</v>
      </c>
      <c r="F916" t="s">
        <v>62</v>
      </c>
      <c r="G916" t="s">
        <v>4444</v>
      </c>
      <c r="H916" t="s">
        <v>4445</v>
      </c>
      <c r="I916" t="s">
        <v>23</v>
      </c>
      <c r="J916" t="s">
        <v>24</v>
      </c>
      <c r="K916" t="s">
        <v>89</v>
      </c>
      <c r="L916" t="s">
        <v>46</v>
      </c>
      <c r="M916" t="s">
        <v>27</v>
      </c>
      <c r="N916" t="s">
        <v>4446</v>
      </c>
      <c r="O916" t="s">
        <v>67</v>
      </c>
      <c r="P916" t="s">
        <v>197</v>
      </c>
      <c r="Q916" t="s">
        <v>4447</v>
      </c>
      <c r="R916">
        <v>642.94000000000005</v>
      </c>
      <c r="S916">
        <v>2</v>
      </c>
      <c r="T916">
        <v>0.2</v>
      </c>
      <c r="U916">
        <v>279.49</v>
      </c>
    </row>
    <row r="917" spans="1:21" x14ac:dyDescent="0.35">
      <c r="A917" t="s">
        <v>4448</v>
      </c>
      <c r="B917" s="2">
        <v>43566</v>
      </c>
      <c r="C917" s="2" t="str">
        <f t="shared" si="28"/>
        <v>April</v>
      </c>
      <c r="D917" s="2" t="str">
        <f t="shared" si="29"/>
        <v>2019</v>
      </c>
      <c r="E917" s="2" t="s">
        <v>6021</v>
      </c>
      <c r="F917" t="s">
        <v>52</v>
      </c>
      <c r="G917" t="s">
        <v>4449</v>
      </c>
      <c r="H917" t="s">
        <v>4450</v>
      </c>
      <c r="I917" t="s">
        <v>35</v>
      </c>
      <c r="J917" t="s">
        <v>24</v>
      </c>
      <c r="K917" t="s">
        <v>45</v>
      </c>
      <c r="L917" t="s">
        <v>26</v>
      </c>
      <c r="M917" t="s">
        <v>57</v>
      </c>
      <c r="N917" t="s">
        <v>4451</v>
      </c>
      <c r="O917" t="s">
        <v>29</v>
      </c>
      <c r="P917" t="s">
        <v>155</v>
      </c>
      <c r="Q917" t="s">
        <v>4452</v>
      </c>
      <c r="R917">
        <v>1766.58</v>
      </c>
      <c r="S917">
        <v>8</v>
      </c>
      <c r="T917">
        <v>0</v>
      </c>
      <c r="U917">
        <v>331.89</v>
      </c>
    </row>
    <row r="918" spans="1:21" x14ac:dyDescent="0.35">
      <c r="A918" t="s">
        <v>4453</v>
      </c>
      <c r="B918" s="2">
        <v>43030</v>
      </c>
      <c r="C918" s="2" t="str">
        <f t="shared" si="28"/>
        <v>October</v>
      </c>
      <c r="D918" s="2" t="str">
        <f t="shared" si="29"/>
        <v>2017</v>
      </c>
      <c r="E918" s="2">
        <v>42746</v>
      </c>
      <c r="F918" t="s">
        <v>52</v>
      </c>
      <c r="G918" t="s">
        <v>4454</v>
      </c>
      <c r="H918" t="s">
        <v>826</v>
      </c>
      <c r="I918" t="s">
        <v>55</v>
      </c>
      <c r="J918" t="s">
        <v>24</v>
      </c>
      <c r="K918" t="s">
        <v>103</v>
      </c>
      <c r="L918" t="s">
        <v>46</v>
      </c>
      <c r="M918" t="s">
        <v>83</v>
      </c>
      <c r="N918" t="s">
        <v>4455</v>
      </c>
      <c r="O918" t="s">
        <v>29</v>
      </c>
      <c r="P918" t="s">
        <v>110</v>
      </c>
      <c r="Q918" t="s">
        <v>4456</v>
      </c>
      <c r="R918">
        <v>828.56</v>
      </c>
      <c r="S918">
        <v>5</v>
      </c>
      <c r="T918">
        <v>0.3</v>
      </c>
      <c r="U918">
        <v>32.39</v>
      </c>
    </row>
    <row r="919" spans="1:21" x14ac:dyDescent="0.35">
      <c r="A919" t="s">
        <v>4457</v>
      </c>
      <c r="B919" s="2">
        <v>42988</v>
      </c>
      <c r="C919" s="2" t="str">
        <f t="shared" si="28"/>
        <v>September</v>
      </c>
      <c r="D919" s="2" t="str">
        <f t="shared" si="29"/>
        <v>2017</v>
      </c>
      <c r="E919" s="2" t="s">
        <v>6175</v>
      </c>
      <c r="F919" t="s">
        <v>62</v>
      </c>
      <c r="G919" t="s">
        <v>4458</v>
      </c>
      <c r="H919" t="s">
        <v>4459</v>
      </c>
      <c r="I919" t="s">
        <v>55</v>
      </c>
      <c r="J919" t="s">
        <v>24</v>
      </c>
      <c r="K919" t="s">
        <v>103</v>
      </c>
      <c r="L919" t="s">
        <v>170</v>
      </c>
      <c r="M919" t="s">
        <v>74</v>
      </c>
      <c r="N919" t="s">
        <v>4460</v>
      </c>
      <c r="O919" t="s">
        <v>67</v>
      </c>
      <c r="P919" t="s">
        <v>92</v>
      </c>
      <c r="Q919" t="s">
        <v>2800</v>
      </c>
      <c r="R919">
        <v>1663.45</v>
      </c>
      <c r="S919">
        <v>6</v>
      </c>
      <c r="T919">
        <v>0.4</v>
      </c>
      <c r="U919">
        <v>576.4</v>
      </c>
    </row>
    <row r="920" spans="1:21" x14ac:dyDescent="0.35">
      <c r="A920" t="s">
        <v>4461</v>
      </c>
      <c r="B920" s="2">
        <v>43025</v>
      </c>
      <c r="C920" s="2" t="str">
        <f t="shared" si="28"/>
        <v>October</v>
      </c>
      <c r="D920" s="2" t="str">
        <f t="shared" si="29"/>
        <v>2017</v>
      </c>
      <c r="E920" s="2" t="s">
        <v>6104</v>
      </c>
      <c r="F920" t="s">
        <v>52</v>
      </c>
      <c r="G920" t="s">
        <v>4462</v>
      </c>
      <c r="H920" t="s">
        <v>4463</v>
      </c>
      <c r="I920" t="s">
        <v>55</v>
      </c>
      <c r="J920" t="s">
        <v>24</v>
      </c>
      <c r="K920" t="s">
        <v>36</v>
      </c>
      <c r="L920" t="s">
        <v>65</v>
      </c>
      <c r="M920" t="s">
        <v>74</v>
      </c>
      <c r="N920" t="s">
        <v>4464</v>
      </c>
      <c r="O920" t="s">
        <v>29</v>
      </c>
      <c r="P920" t="s">
        <v>155</v>
      </c>
      <c r="Q920" t="s">
        <v>4465</v>
      </c>
      <c r="R920">
        <v>126.7</v>
      </c>
      <c r="S920">
        <v>6</v>
      </c>
      <c r="T920">
        <v>0</v>
      </c>
      <c r="U920">
        <v>7.8</v>
      </c>
    </row>
    <row r="921" spans="1:21" x14ac:dyDescent="0.35">
      <c r="A921" t="s">
        <v>4466</v>
      </c>
      <c r="B921" s="2">
        <v>42995</v>
      </c>
      <c r="C921" s="2" t="str">
        <f t="shared" si="28"/>
        <v>September</v>
      </c>
      <c r="D921" s="2" t="str">
        <f t="shared" si="29"/>
        <v>2017</v>
      </c>
      <c r="E921" s="2" t="s">
        <v>6341</v>
      </c>
      <c r="F921" t="s">
        <v>42</v>
      </c>
      <c r="G921" t="s">
        <v>4467</v>
      </c>
      <c r="H921" t="s">
        <v>3164</v>
      </c>
      <c r="I921" t="s">
        <v>55</v>
      </c>
      <c r="J921" t="s">
        <v>24</v>
      </c>
      <c r="K921" t="s">
        <v>89</v>
      </c>
      <c r="L921" t="s">
        <v>56</v>
      </c>
      <c r="M921" t="s">
        <v>57</v>
      </c>
      <c r="N921" t="s">
        <v>4468</v>
      </c>
      <c r="O921" t="s">
        <v>48</v>
      </c>
      <c r="P921" t="s">
        <v>59</v>
      </c>
      <c r="Q921" t="s">
        <v>1785</v>
      </c>
      <c r="R921">
        <v>517.84</v>
      </c>
      <c r="S921">
        <v>9</v>
      </c>
      <c r="T921">
        <v>0.1</v>
      </c>
      <c r="U921">
        <v>-72.8</v>
      </c>
    </row>
    <row r="922" spans="1:21" x14ac:dyDescent="0.35">
      <c r="A922" t="s">
        <v>4469</v>
      </c>
      <c r="B922" s="2">
        <v>42455</v>
      </c>
      <c r="C922" s="2" t="str">
        <f t="shared" si="28"/>
        <v>March</v>
      </c>
      <c r="D922" s="2" t="str">
        <f t="shared" si="29"/>
        <v>2016</v>
      </c>
      <c r="E922" s="2" t="s">
        <v>6046</v>
      </c>
      <c r="F922" t="s">
        <v>42</v>
      </c>
      <c r="G922" t="s">
        <v>4470</v>
      </c>
      <c r="H922" t="s">
        <v>659</v>
      </c>
      <c r="I922" t="s">
        <v>23</v>
      </c>
      <c r="J922" t="s">
        <v>24</v>
      </c>
      <c r="K922" t="s">
        <v>73</v>
      </c>
      <c r="L922" t="s">
        <v>170</v>
      </c>
      <c r="M922" t="s">
        <v>57</v>
      </c>
      <c r="N922" t="s">
        <v>4471</v>
      </c>
      <c r="O922" t="s">
        <v>29</v>
      </c>
      <c r="P922" t="s">
        <v>39</v>
      </c>
      <c r="Q922" t="s">
        <v>4472</v>
      </c>
      <c r="R922">
        <v>972.78</v>
      </c>
      <c r="S922">
        <v>7</v>
      </c>
      <c r="T922">
        <v>0</v>
      </c>
      <c r="U922">
        <v>114.89</v>
      </c>
    </row>
    <row r="923" spans="1:21" x14ac:dyDescent="0.35">
      <c r="A923" t="s">
        <v>4473</v>
      </c>
      <c r="B923" s="2">
        <v>43744</v>
      </c>
      <c r="C923" s="2" t="str">
        <f t="shared" si="28"/>
        <v>October</v>
      </c>
      <c r="D923" s="2" t="str">
        <f t="shared" si="29"/>
        <v>2019</v>
      </c>
      <c r="E923" s="2">
        <v>43809</v>
      </c>
      <c r="F923" t="s">
        <v>20</v>
      </c>
      <c r="G923" t="s">
        <v>4474</v>
      </c>
      <c r="H923" t="s">
        <v>4475</v>
      </c>
      <c r="I923" t="s">
        <v>55</v>
      </c>
      <c r="J923" t="s">
        <v>24</v>
      </c>
      <c r="K923" t="s">
        <v>73</v>
      </c>
      <c r="L923" t="s">
        <v>65</v>
      </c>
      <c r="M923" t="s">
        <v>83</v>
      </c>
      <c r="N923" t="s">
        <v>4476</v>
      </c>
      <c r="O923" t="s">
        <v>67</v>
      </c>
      <c r="P923" t="s">
        <v>117</v>
      </c>
      <c r="Q923" t="s">
        <v>4477</v>
      </c>
      <c r="R923">
        <v>825.24</v>
      </c>
      <c r="S923">
        <v>6</v>
      </c>
      <c r="T923">
        <v>0.4</v>
      </c>
      <c r="U923">
        <v>-94.47</v>
      </c>
    </row>
    <row r="924" spans="1:21" x14ac:dyDescent="0.35">
      <c r="A924" t="s">
        <v>4478</v>
      </c>
      <c r="B924" s="2">
        <v>43178</v>
      </c>
      <c r="C924" s="2" t="str">
        <f t="shared" si="28"/>
        <v>March</v>
      </c>
      <c r="D924" s="2" t="str">
        <f t="shared" si="29"/>
        <v>2018</v>
      </c>
      <c r="E924" s="2" t="s">
        <v>5996</v>
      </c>
      <c r="F924" t="s">
        <v>52</v>
      </c>
      <c r="G924" t="s">
        <v>4479</v>
      </c>
      <c r="H924" t="s">
        <v>4480</v>
      </c>
      <c r="I924" t="s">
        <v>55</v>
      </c>
      <c r="J924" t="s">
        <v>24</v>
      </c>
      <c r="K924" t="s">
        <v>133</v>
      </c>
      <c r="L924" t="s">
        <v>170</v>
      </c>
      <c r="M924" t="s">
        <v>57</v>
      </c>
      <c r="N924" t="s">
        <v>4481</v>
      </c>
      <c r="O924" t="s">
        <v>29</v>
      </c>
      <c r="P924" t="s">
        <v>30</v>
      </c>
      <c r="Q924" t="s">
        <v>1251</v>
      </c>
      <c r="R924">
        <v>1050.99</v>
      </c>
      <c r="S924">
        <v>6</v>
      </c>
      <c r="T924">
        <v>0</v>
      </c>
      <c r="U924">
        <v>-222.52</v>
      </c>
    </row>
    <row r="925" spans="1:21" x14ac:dyDescent="0.35">
      <c r="A925" t="s">
        <v>4482</v>
      </c>
      <c r="B925" s="2">
        <v>42415</v>
      </c>
      <c r="C925" s="2" t="str">
        <f t="shared" si="28"/>
        <v>February</v>
      </c>
      <c r="D925" s="2" t="str">
        <f t="shared" si="29"/>
        <v>2016</v>
      </c>
      <c r="E925" s="2" t="s">
        <v>6156</v>
      </c>
      <c r="F925" t="s">
        <v>20</v>
      </c>
      <c r="G925" t="s">
        <v>4483</v>
      </c>
      <c r="H925" t="s">
        <v>4484</v>
      </c>
      <c r="I925" t="s">
        <v>35</v>
      </c>
      <c r="J925" t="s">
        <v>24</v>
      </c>
      <c r="K925" t="s">
        <v>73</v>
      </c>
      <c r="L925" t="s">
        <v>26</v>
      </c>
      <c r="M925" t="s">
        <v>27</v>
      </c>
      <c r="N925" t="s">
        <v>4485</v>
      </c>
      <c r="O925" t="s">
        <v>48</v>
      </c>
      <c r="P925" t="s">
        <v>76</v>
      </c>
      <c r="Q925" t="s">
        <v>4486</v>
      </c>
      <c r="R925">
        <v>837.77</v>
      </c>
      <c r="S925">
        <v>7</v>
      </c>
      <c r="T925">
        <v>0</v>
      </c>
      <c r="U925">
        <v>178.56</v>
      </c>
    </row>
    <row r="926" spans="1:21" x14ac:dyDescent="0.35">
      <c r="A926" t="s">
        <v>4487</v>
      </c>
      <c r="B926" s="2">
        <v>42375</v>
      </c>
      <c r="C926" s="2" t="str">
        <f t="shared" si="28"/>
        <v>January</v>
      </c>
      <c r="D926" s="2" t="str">
        <f t="shared" si="29"/>
        <v>2016</v>
      </c>
      <c r="E926" s="2" t="s">
        <v>6239</v>
      </c>
      <c r="F926" t="s">
        <v>52</v>
      </c>
      <c r="G926" t="s">
        <v>4488</v>
      </c>
      <c r="H926" t="s">
        <v>4489</v>
      </c>
      <c r="I926" t="s">
        <v>55</v>
      </c>
      <c r="J926" t="s">
        <v>24</v>
      </c>
      <c r="K926" t="s">
        <v>45</v>
      </c>
      <c r="L926" t="s">
        <v>82</v>
      </c>
      <c r="M926" t="s">
        <v>83</v>
      </c>
      <c r="N926" t="s">
        <v>4490</v>
      </c>
      <c r="O926" t="s">
        <v>67</v>
      </c>
      <c r="P926" t="s">
        <v>68</v>
      </c>
      <c r="Q926" t="s">
        <v>4491</v>
      </c>
      <c r="R926">
        <v>883.51</v>
      </c>
      <c r="S926">
        <v>9</v>
      </c>
      <c r="T926">
        <v>0</v>
      </c>
      <c r="U926">
        <v>-201.06</v>
      </c>
    </row>
    <row r="927" spans="1:21" x14ac:dyDescent="0.35">
      <c r="A927" t="s">
        <v>4492</v>
      </c>
      <c r="B927" s="2">
        <v>43739</v>
      </c>
      <c r="C927" s="2" t="str">
        <f t="shared" si="28"/>
        <v>October</v>
      </c>
      <c r="D927" s="2" t="str">
        <f t="shared" si="29"/>
        <v>2019</v>
      </c>
      <c r="E927" s="2">
        <v>43595</v>
      </c>
      <c r="F927" t="s">
        <v>20</v>
      </c>
      <c r="G927" t="s">
        <v>4493</v>
      </c>
      <c r="H927" t="s">
        <v>4494</v>
      </c>
      <c r="I927" t="s">
        <v>55</v>
      </c>
      <c r="J927" t="s">
        <v>24</v>
      </c>
      <c r="K927" t="s">
        <v>36</v>
      </c>
      <c r="L927" t="s">
        <v>90</v>
      </c>
      <c r="M927" t="s">
        <v>83</v>
      </c>
      <c r="N927" t="s">
        <v>4495</v>
      </c>
      <c r="O927" t="s">
        <v>29</v>
      </c>
      <c r="P927" t="s">
        <v>39</v>
      </c>
      <c r="Q927" t="s">
        <v>4496</v>
      </c>
      <c r="R927">
        <v>1345.07</v>
      </c>
      <c r="S927">
        <v>8</v>
      </c>
      <c r="T927">
        <v>0</v>
      </c>
      <c r="U927">
        <v>323.58999999999997</v>
      </c>
    </row>
    <row r="928" spans="1:21" x14ac:dyDescent="0.35">
      <c r="A928" t="s">
        <v>4497</v>
      </c>
      <c r="B928" s="2">
        <v>42887</v>
      </c>
      <c r="C928" s="2" t="str">
        <f t="shared" si="28"/>
        <v>June</v>
      </c>
      <c r="D928" s="2" t="str">
        <f t="shared" si="29"/>
        <v>2017</v>
      </c>
      <c r="E928" s="2">
        <v>42922</v>
      </c>
      <c r="F928" t="s">
        <v>42</v>
      </c>
      <c r="G928" t="s">
        <v>4498</v>
      </c>
      <c r="H928" t="s">
        <v>4499</v>
      </c>
      <c r="I928" t="s">
        <v>35</v>
      </c>
      <c r="J928" t="s">
        <v>24</v>
      </c>
      <c r="K928" t="s">
        <v>89</v>
      </c>
      <c r="L928" t="s">
        <v>115</v>
      </c>
      <c r="M928" t="s">
        <v>74</v>
      </c>
      <c r="N928" t="s">
        <v>4500</v>
      </c>
      <c r="O928" t="s">
        <v>29</v>
      </c>
      <c r="P928" t="s">
        <v>155</v>
      </c>
      <c r="Q928" t="s">
        <v>4501</v>
      </c>
      <c r="R928">
        <v>1965.15</v>
      </c>
      <c r="S928">
        <v>8</v>
      </c>
      <c r="T928">
        <v>0.1</v>
      </c>
      <c r="U928">
        <v>-184.98</v>
      </c>
    </row>
    <row r="929" spans="1:21" x14ac:dyDescent="0.35">
      <c r="A929" t="s">
        <v>4502</v>
      </c>
      <c r="B929" s="2">
        <v>43732</v>
      </c>
      <c r="C929" s="2" t="str">
        <f t="shared" si="28"/>
        <v>September</v>
      </c>
      <c r="D929" s="2" t="str">
        <f t="shared" si="29"/>
        <v>2019</v>
      </c>
      <c r="E929" s="2" t="s">
        <v>5953</v>
      </c>
      <c r="F929" t="s">
        <v>62</v>
      </c>
      <c r="G929" t="s">
        <v>4503</v>
      </c>
      <c r="H929" t="s">
        <v>2234</v>
      </c>
      <c r="I929" t="s">
        <v>23</v>
      </c>
      <c r="J929" t="s">
        <v>24</v>
      </c>
      <c r="K929" t="s">
        <v>89</v>
      </c>
      <c r="L929" t="s">
        <v>82</v>
      </c>
      <c r="M929" t="s">
        <v>83</v>
      </c>
      <c r="N929" t="s">
        <v>4504</v>
      </c>
      <c r="O929" t="s">
        <v>29</v>
      </c>
      <c r="P929" t="s">
        <v>39</v>
      </c>
      <c r="Q929" t="s">
        <v>4505</v>
      </c>
      <c r="R929">
        <v>923.76</v>
      </c>
      <c r="S929">
        <v>2</v>
      </c>
      <c r="T929">
        <v>0</v>
      </c>
      <c r="U929">
        <v>-224.56</v>
      </c>
    </row>
    <row r="930" spans="1:21" x14ac:dyDescent="0.35">
      <c r="A930" t="s">
        <v>4506</v>
      </c>
      <c r="B930" s="2">
        <v>43378</v>
      </c>
      <c r="C930" s="2" t="str">
        <f t="shared" si="28"/>
        <v>October</v>
      </c>
      <c r="D930" s="2" t="str">
        <f t="shared" si="29"/>
        <v>2018</v>
      </c>
      <c r="E930" s="2">
        <v>43261</v>
      </c>
      <c r="F930" t="s">
        <v>52</v>
      </c>
      <c r="G930" t="s">
        <v>4507</v>
      </c>
      <c r="H930" t="s">
        <v>4508</v>
      </c>
      <c r="I930" t="s">
        <v>35</v>
      </c>
      <c r="J930" t="s">
        <v>24</v>
      </c>
      <c r="K930" t="s">
        <v>45</v>
      </c>
      <c r="L930" t="s">
        <v>46</v>
      </c>
      <c r="M930" t="s">
        <v>83</v>
      </c>
      <c r="N930" t="s">
        <v>4509</v>
      </c>
      <c r="O930" t="s">
        <v>48</v>
      </c>
      <c r="P930" t="s">
        <v>49</v>
      </c>
      <c r="Q930" t="s">
        <v>4510</v>
      </c>
      <c r="R930">
        <v>735.14</v>
      </c>
      <c r="S930">
        <v>5</v>
      </c>
      <c r="T930">
        <v>0.4</v>
      </c>
      <c r="U930">
        <v>225.68</v>
      </c>
    </row>
    <row r="931" spans="1:21" x14ac:dyDescent="0.35">
      <c r="A931" t="s">
        <v>4511</v>
      </c>
      <c r="B931" s="2">
        <v>42975</v>
      </c>
      <c r="C931" s="2" t="str">
        <f t="shared" si="28"/>
        <v>August</v>
      </c>
      <c r="D931" s="2" t="str">
        <f t="shared" si="29"/>
        <v>2017</v>
      </c>
      <c r="E931" s="2" t="s">
        <v>6234</v>
      </c>
      <c r="F931" t="s">
        <v>42</v>
      </c>
      <c r="G931" t="s">
        <v>4512</v>
      </c>
      <c r="H931" t="s">
        <v>4513</v>
      </c>
      <c r="I931" t="s">
        <v>35</v>
      </c>
      <c r="J931" t="s">
        <v>24</v>
      </c>
      <c r="K931" t="s">
        <v>25</v>
      </c>
      <c r="L931" t="s">
        <v>37</v>
      </c>
      <c r="M931" t="s">
        <v>74</v>
      </c>
      <c r="N931" t="s">
        <v>4514</v>
      </c>
      <c r="O931" t="s">
        <v>29</v>
      </c>
      <c r="P931" t="s">
        <v>110</v>
      </c>
      <c r="Q931" t="s">
        <v>4515</v>
      </c>
      <c r="R931">
        <v>1421.26</v>
      </c>
      <c r="S931">
        <v>8</v>
      </c>
      <c r="T931">
        <v>0</v>
      </c>
      <c r="U931">
        <v>-241.1</v>
      </c>
    </row>
    <row r="932" spans="1:21" x14ac:dyDescent="0.35">
      <c r="A932" t="s">
        <v>4516</v>
      </c>
      <c r="B932" s="2">
        <v>42982</v>
      </c>
      <c r="C932" s="2" t="str">
        <f t="shared" si="28"/>
        <v>September</v>
      </c>
      <c r="D932" s="2" t="str">
        <f t="shared" si="29"/>
        <v>2017</v>
      </c>
      <c r="E932" s="2">
        <v>42864</v>
      </c>
      <c r="F932" t="s">
        <v>42</v>
      </c>
      <c r="G932" t="s">
        <v>4517</v>
      </c>
      <c r="H932" t="s">
        <v>4518</v>
      </c>
      <c r="I932" t="s">
        <v>23</v>
      </c>
      <c r="J932" t="s">
        <v>24</v>
      </c>
      <c r="K932" t="s">
        <v>45</v>
      </c>
      <c r="L932" t="s">
        <v>170</v>
      </c>
      <c r="M932" t="s">
        <v>83</v>
      </c>
      <c r="N932" t="s">
        <v>4519</v>
      </c>
      <c r="O932" t="s">
        <v>67</v>
      </c>
      <c r="P932" t="s">
        <v>197</v>
      </c>
      <c r="Q932" t="s">
        <v>4520</v>
      </c>
      <c r="R932">
        <v>277.60000000000002</v>
      </c>
      <c r="S932">
        <v>4</v>
      </c>
      <c r="T932">
        <v>0.3</v>
      </c>
      <c r="U932">
        <v>-64.72</v>
      </c>
    </row>
    <row r="933" spans="1:21" x14ac:dyDescent="0.35">
      <c r="A933" t="s">
        <v>4521</v>
      </c>
      <c r="B933" s="2">
        <v>43803</v>
      </c>
      <c r="C933" s="2" t="str">
        <f t="shared" si="28"/>
        <v>December</v>
      </c>
      <c r="D933" s="2" t="str">
        <f t="shared" si="29"/>
        <v>2019</v>
      </c>
      <c r="E933" s="2">
        <v>43689</v>
      </c>
      <c r="F933" t="s">
        <v>62</v>
      </c>
      <c r="G933" t="s">
        <v>4522</v>
      </c>
      <c r="H933" t="s">
        <v>4523</v>
      </c>
      <c r="I933" t="s">
        <v>35</v>
      </c>
      <c r="J933" t="s">
        <v>24</v>
      </c>
      <c r="K933" t="s">
        <v>36</v>
      </c>
      <c r="L933" t="s">
        <v>90</v>
      </c>
      <c r="M933" t="s">
        <v>74</v>
      </c>
      <c r="N933" t="s">
        <v>4524</v>
      </c>
      <c r="O933" t="s">
        <v>29</v>
      </c>
      <c r="P933" t="s">
        <v>39</v>
      </c>
      <c r="Q933" t="s">
        <v>4525</v>
      </c>
      <c r="R933">
        <v>577.07000000000005</v>
      </c>
      <c r="S933">
        <v>6</v>
      </c>
      <c r="T933">
        <v>0.1</v>
      </c>
      <c r="U933">
        <v>246.1</v>
      </c>
    </row>
    <row r="934" spans="1:21" x14ac:dyDescent="0.35">
      <c r="A934" t="s">
        <v>4526</v>
      </c>
      <c r="B934" s="2">
        <v>42602</v>
      </c>
      <c r="C934" s="2" t="str">
        <f t="shared" si="28"/>
        <v>August</v>
      </c>
      <c r="D934" s="2" t="str">
        <f t="shared" si="29"/>
        <v>2016</v>
      </c>
      <c r="E934" s="2" t="s">
        <v>5923</v>
      </c>
      <c r="F934" t="s">
        <v>62</v>
      </c>
      <c r="G934" t="s">
        <v>4527</v>
      </c>
      <c r="H934" t="s">
        <v>4308</v>
      </c>
      <c r="I934" t="s">
        <v>23</v>
      </c>
      <c r="J934" t="s">
        <v>24</v>
      </c>
      <c r="K934" t="s">
        <v>36</v>
      </c>
      <c r="L934" t="s">
        <v>170</v>
      </c>
      <c r="M934" t="s">
        <v>74</v>
      </c>
      <c r="N934" t="s">
        <v>4528</v>
      </c>
      <c r="O934" t="s">
        <v>48</v>
      </c>
      <c r="P934" t="s">
        <v>76</v>
      </c>
      <c r="Q934" t="s">
        <v>995</v>
      </c>
      <c r="R934">
        <v>1511.96</v>
      </c>
      <c r="S934">
        <v>7</v>
      </c>
      <c r="T934">
        <v>0.4</v>
      </c>
      <c r="U934">
        <v>-215.49</v>
      </c>
    </row>
    <row r="935" spans="1:21" x14ac:dyDescent="0.35">
      <c r="A935" t="s">
        <v>4529</v>
      </c>
      <c r="B935" s="2">
        <v>43698</v>
      </c>
      <c r="C935" s="2" t="str">
        <f t="shared" si="28"/>
        <v>August</v>
      </c>
      <c r="D935" s="2" t="str">
        <f t="shared" si="29"/>
        <v>2019</v>
      </c>
      <c r="E935" s="2" t="s">
        <v>6359</v>
      </c>
      <c r="F935" t="s">
        <v>20</v>
      </c>
      <c r="G935" t="s">
        <v>4530</v>
      </c>
      <c r="H935" t="s">
        <v>836</v>
      </c>
      <c r="I935" t="s">
        <v>35</v>
      </c>
      <c r="J935" t="s">
        <v>24</v>
      </c>
      <c r="K935" t="s">
        <v>212</v>
      </c>
      <c r="L935" t="s">
        <v>37</v>
      </c>
      <c r="M935" t="s">
        <v>27</v>
      </c>
      <c r="N935" t="s">
        <v>4531</v>
      </c>
      <c r="O935" t="s">
        <v>67</v>
      </c>
      <c r="P935" t="s">
        <v>92</v>
      </c>
      <c r="Q935" t="s">
        <v>4532</v>
      </c>
      <c r="R935">
        <v>642.09</v>
      </c>
      <c r="S935">
        <v>5</v>
      </c>
      <c r="T935">
        <v>0</v>
      </c>
      <c r="U935">
        <v>-60.43</v>
      </c>
    </row>
    <row r="936" spans="1:21" x14ac:dyDescent="0.35">
      <c r="A936" t="s">
        <v>4533</v>
      </c>
      <c r="B936" s="2">
        <v>42396</v>
      </c>
      <c r="C936" s="2" t="str">
        <f t="shared" si="28"/>
        <v>January</v>
      </c>
      <c r="D936" s="2" t="str">
        <f t="shared" si="29"/>
        <v>2016</v>
      </c>
      <c r="E936" s="2" t="s">
        <v>5984</v>
      </c>
      <c r="F936" t="s">
        <v>62</v>
      </c>
      <c r="G936" t="s">
        <v>4534</v>
      </c>
      <c r="H936" t="s">
        <v>4535</v>
      </c>
      <c r="I936" t="s">
        <v>23</v>
      </c>
      <c r="J936" t="s">
        <v>24</v>
      </c>
      <c r="K936" t="s">
        <v>89</v>
      </c>
      <c r="L936" t="s">
        <v>37</v>
      </c>
      <c r="M936" t="s">
        <v>57</v>
      </c>
      <c r="N936" t="s">
        <v>4536</v>
      </c>
      <c r="O936" t="s">
        <v>48</v>
      </c>
      <c r="P936" t="s">
        <v>59</v>
      </c>
      <c r="Q936" t="s">
        <v>4537</v>
      </c>
      <c r="R936">
        <v>199.35</v>
      </c>
      <c r="S936">
        <v>10</v>
      </c>
      <c r="T936">
        <v>0.1</v>
      </c>
      <c r="U936">
        <v>35.090000000000003</v>
      </c>
    </row>
    <row r="937" spans="1:21" x14ac:dyDescent="0.35">
      <c r="A937" t="s">
        <v>4538</v>
      </c>
      <c r="B937" s="2">
        <v>43613</v>
      </c>
      <c r="C937" s="2" t="str">
        <f t="shared" si="28"/>
        <v>May</v>
      </c>
      <c r="D937" s="2" t="str">
        <f t="shared" si="29"/>
        <v>2019</v>
      </c>
      <c r="E937" s="2">
        <v>43502</v>
      </c>
      <c r="F937" t="s">
        <v>20</v>
      </c>
      <c r="G937" t="s">
        <v>4539</v>
      </c>
      <c r="H937" t="s">
        <v>4540</v>
      </c>
      <c r="I937" t="s">
        <v>35</v>
      </c>
      <c r="J937" t="s">
        <v>24</v>
      </c>
      <c r="K937" t="s">
        <v>133</v>
      </c>
      <c r="L937" t="s">
        <v>26</v>
      </c>
      <c r="M937" t="s">
        <v>27</v>
      </c>
      <c r="N937" t="s">
        <v>4541</v>
      </c>
      <c r="O937" t="s">
        <v>29</v>
      </c>
      <c r="P937" t="s">
        <v>39</v>
      </c>
      <c r="Q937" t="s">
        <v>4542</v>
      </c>
      <c r="R937">
        <v>1942.7</v>
      </c>
      <c r="S937">
        <v>2</v>
      </c>
      <c r="T937">
        <v>0.4</v>
      </c>
      <c r="U937">
        <v>-542.92999999999995</v>
      </c>
    </row>
    <row r="938" spans="1:21" x14ac:dyDescent="0.35">
      <c r="A938" t="s">
        <v>4543</v>
      </c>
      <c r="B938" s="2">
        <v>42743</v>
      </c>
      <c r="C938" s="2" t="str">
        <f t="shared" si="28"/>
        <v>January</v>
      </c>
      <c r="D938" s="2" t="str">
        <f t="shared" si="29"/>
        <v>2017</v>
      </c>
      <c r="E938" s="2" t="s">
        <v>5922</v>
      </c>
      <c r="F938" t="s">
        <v>20</v>
      </c>
      <c r="G938" t="s">
        <v>4544</v>
      </c>
      <c r="H938" t="s">
        <v>4545</v>
      </c>
      <c r="I938" t="s">
        <v>23</v>
      </c>
      <c r="J938" t="s">
        <v>24</v>
      </c>
      <c r="K938" t="s">
        <v>36</v>
      </c>
      <c r="L938" t="s">
        <v>26</v>
      </c>
      <c r="M938" t="s">
        <v>57</v>
      </c>
      <c r="N938" t="s">
        <v>4546</v>
      </c>
      <c r="O938" t="s">
        <v>48</v>
      </c>
      <c r="P938" t="s">
        <v>128</v>
      </c>
      <c r="Q938" t="s">
        <v>4547</v>
      </c>
      <c r="R938">
        <v>1240.9000000000001</v>
      </c>
      <c r="S938">
        <v>3</v>
      </c>
      <c r="T938">
        <v>0.3</v>
      </c>
      <c r="U938">
        <v>198.73</v>
      </c>
    </row>
    <row r="939" spans="1:21" x14ac:dyDescent="0.35">
      <c r="A939" t="s">
        <v>4548</v>
      </c>
      <c r="B939" s="2">
        <v>43497</v>
      </c>
      <c r="C939" s="2" t="str">
        <f t="shared" si="28"/>
        <v>February</v>
      </c>
      <c r="D939" s="2" t="str">
        <f t="shared" si="29"/>
        <v>2019</v>
      </c>
      <c r="E939" s="2">
        <v>43526</v>
      </c>
      <c r="F939" t="s">
        <v>20</v>
      </c>
      <c r="G939" t="s">
        <v>4549</v>
      </c>
      <c r="H939" t="s">
        <v>4550</v>
      </c>
      <c r="I939" t="s">
        <v>35</v>
      </c>
      <c r="J939" t="s">
        <v>24</v>
      </c>
      <c r="K939" t="s">
        <v>103</v>
      </c>
      <c r="L939" t="s">
        <v>26</v>
      </c>
      <c r="M939" t="s">
        <v>27</v>
      </c>
      <c r="N939" t="s">
        <v>4551</v>
      </c>
      <c r="O939" t="s">
        <v>48</v>
      </c>
      <c r="P939" t="s">
        <v>49</v>
      </c>
      <c r="Q939" t="s">
        <v>4552</v>
      </c>
      <c r="R939">
        <v>1481.86</v>
      </c>
      <c r="S939">
        <v>5</v>
      </c>
      <c r="T939">
        <v>0.2</v>
      </c>
      <c r="U939">
        <v>50.88</v>
      </c>
    </row>
    <row r="940" spans="1:21" x14ac:dyDescent="0.35">
      <c r="A940" t="s">
        <v>4553</v>
      </c>
      <c r="B940" s="2">
        <v>43523</v>
      </c>
      <c r="C940" s="2" t="str">
        <f t="shared" si="28"/>
        <v>February</v>
      </c>
      <c r="D940" s="2" t="str">
        <f t="shared" si="29"/>
        <v>2019</v>
      </c>
      <c r="E940" s="2">
        <v>43558</v>
      </c>
      <c r="F940" t="s">
        <v>52</v>
      </c>
      <c r="G940" t="s">
        <v>4554</v>
      </c>
      <c r="H940" t="s">
        <v>4555</v>
      </c>
      <c r="I940" t="s">
        <v>23</v>
      </c>
      <c r="J940" t="s">
        <v>24</v>
      </c>
      <c r="K940" t="s">
        <v>25</v>
      </c>
      <c r="L940" t="s">
        <v>115</v>
      </c>
      <c r="M940" t="s">
        <v>27</v>
      </c>
      <c r="N940" t="s">
        <v>4556</v>
      </c>
      <c r="O940" t="s">
        <v>67</v>
      </c>
      <c r="P940" t="s">
        <v>92</v>
      </c>
      <c r="Q940" t="s">
        <v>4557</v>
      </c>
      <c r="R940">
        <v>126.69</v>
      </c>
      <c r="S940">
        <v>10</v>
      </c>
      <c r="T940">
        <v>0.4</v>
      </c>
      <c r="U940">
        <v>10.85</v>
      </c>
    </row>
    <row r="941" spans="1:21" x14ac:dyDescent="0.35">
      <c r="A941" t="s">
        <v>4558</v>
      </c>
      <c r="B941" s="2">
        <v>42548</v>
      </c>
      <c r="C941" s="2" t="str">
        <f t="shared" si="28"/>
        <v>June</v>
      </c>
      <c r="D941" s="2" t="str">
        <f t="shared" si="29"/>
        <v>2016</v>
      </c>
      <c r="E941" s="2" t="s">
        <v>5986</v>
      </c>
      <c r="F941" t="s">
        <v>62</v>
      </c>
      <c r="G941" t="s">
        <v>4559</v>
      </c>
      <c r="H941" t="s">
        <v>4560</v>
      </c>
      <c r="I941" t="s">
        <v>23</v>
      </c>
      <c r="J941" t="s">
        <v>24</v>
      </c>
      <c r="K941" t="s">
        <v>81</v>
      </c>
      <c r="L941" t="s">
        <v>115</v>
      </c>
      <c r="M941" t="s">
        <v>57</v>
      </c>
      <c r="N941" t="s">
        <v>4561</v>
      </c>
      <c r="O941" t="s">
        <v>29</v>
      </c>
      <c r="P941" t="s">
        <v>39</v>
      </c>
      <c r="Q941" t="s">
        <v>1462</v>
      </c>
      <c r="R941">
        <v>1147.25</v>
      </c>
      <c r="S941">
        <v>7</v>
      </c>
      <c r="T941">
        <v>0</v>
      </c>
      <c r="U941">
        <v>361.83</v>
      </c>
    </row>
    <row r="942" spans="1:21" x14ac:dyDescent="0.35">
      <c r="A942" t="s">
        <v>4562</v>
      </c>
      <c r="B942" s="2">
        <v>42710</v>
      </c>
      <c r="C942" s="2" t="str">
        <f t="shared" si="28"/>
        <v>December</v>
      </c>
      <c r="D942" s="2" t="str">
        <f t="shared" si="29"/>
        <v>2016</v>
      </c>
      <c r="E942" s="2" t="s">
        <v>6132</v>
      </c>
      <c r="F942" t="s">
        <v>20</v>
      </c>
      <c r="G942" t="s">
        <v>4563</v>
      </c>
      <c r="H942" t="s">
        <v>4564</v>
      </c>
      <c r="I942" t="s">
        <v>23</v>
      </c>
      <c r="J942" t="s">
        <v>24</v>
      </c>
      <c r="K942" t="s">
        <v>133</v>
      </c>
      <c r="L942" t="s">
        <v>90</v>
      </c>
      <c r="M942" t="s">
        <v>57</v>
      </c>
      <c r="N942" t="s">
        <v>4565</v>
      </c>
      <c r="O942" t="s">
        <v>67</v>
      </c>
      <c r="P942" t="s">
        <v>117</v>
      </c>
      <c r="Q942" t="s">
        <v>4566</v>
      </c>
      <c r="R942">
        <v>336.63</v>
      </c>
      <c r="S942">
        <v>7</v>
      </c>
      <c r="T942">
        <v>0.3</v>
      </c>
      <c r="U942">
        <v>159.44999999999999</v>
      </c>
    </row>
    <row r="943" spans="1:21" x14ac:dyDescent="0.35">
      <c r="A943" t="s">
        <v>4567</v>
      </c>
      <c r="B943" s="2">
        <v>43454</v>
      </c>
      <c r="C943" s="2" t="str">
        <f t="shared" si="28"/>
        <v>December</v>
      </c>
      <c r="D943" s="2" t="str">
        <f t="shared" si="29"/>
        <v>2018</v>
      </c>
      <c r="E943" s="2" t="s">
        <v>6360</v>
      </c>
      <c r="F943" t="s">
        <v>62</v>
      </c>
      <c r="G943" t="s">
        <v>4568</v>
      </c>
      <c r="H943" t="s">
        <v>4569</v>
      </c>
      <c r="I943" t="s">
        <v>23</v>
      </c>
      <c r="J943" t="s">
        <v>24</v>
      </c>
      <c r="K943" t="s">
        <v>81</v>
      </c>
      <c r="L943" t="s">
        <v>26</v>
      </c>
      <c r="M943" t="s">
        <v>27</v>
      </c>
      <c r="N943" t="s">
        <v>4570</v>
      </c>
      <c r="O943" t="s">
        <v>48</v>
      </c>
      <c r="P943" t="s">
        <v>59</v>
      </c>
      <c r="Q943" t="s">
        <v>4571</v>
      </c>
      <c r="R943">
        <v>98.51</v>
      </c>
      <c r="S943">
        <v>9</v>
      </c>
      <c r="T943">
        <v>0.3</v>
      </c>
      <c r="U943">
        <v>14.04</v>
      </c>
    </row>
    <row r="944" spans="1:21" x14ac:dyDescent="0.35">
      <c r="A944" t="s">
        <v>4572</v>
      </c>
      <c r="B944" s="2">
        <v>43807</v>
      </c>
      <c r="C944" s="2" t="str">
        <f t="shared" si="28"/>
        <v>December</v>
      </c>
      <c r="D944" s="2" t="str">
        <f t="shared" si="29"/>
        <v>2019</v>
      </c>
      <c r="E944" s="2" t="s">
        <v>5944</v>
      </c>
      <c r="F944" t="s">
        <v>52</v>
      </c>
      <c r="G944" t="s">
        <v>4573</v>
      </c>
      <c r="H944" t="s">
        <v>4574</v>
      </c>
      <c r="I944" t="s">
        <v>23</v>
      </c>
      <c r="J944" t="s">
        <v>24</v>
      </c>
      <c r="K944" t="s">
        <v>133</v>
      </c>
      <c r="L944" t="s">
        <v>36</v>
      </c>
      <c r="M944" t="s">
        <v>27</v>
      </c>
      <c r="N944" t="s">
        <v>4575</v>
      </c>
      <c r="O944" t="s">
        <v>67</v>
      </c>
      <c r="P944" t="s">
        <v>92</v>
      </c>
      <c r="Q944" t="s">
        <v>4576</v>
      </c>
      <c r="R944">
        <v>1272.32</v>
      </c>
      <c r="S944">
        <v>6</v>
      </c>
      <c r="T944">
        <v>0.2</v>
      </c>
      <c r="U944">
        <v>-255.36</v>
      </c>
    </row>
    <row r="945" spans="1:21" x14ac:dyDescent="0.35">
      <c r="A945" t="s">
        <v>4577</v>
      </c>
      <c r="B945" s="2">
        <v>43655</v>
      </c>
      <c r="C945" s="2" t="str">
        <f t="shared" si="28"/>
        <v>July</v>
      </c>
      <c r="D945" s="2" t="str">
        <f t="shared" si="29"/>
        <v>2019</v>
      </c>
      <c r="E945" s="2" t="s">
        <v>5979</v>
      </c>
      <c r="F945" t="s">
        <v>62</v>
      </c>
      <c r="G945" t="s">
        <v>4578</v>
      </c>
      <c r="H945" t="s">
        <v>3785</v>
      </c>
      <c r="I945" t="s">
        <v>23</v>
      </c>
      <c r="J945" t="s">
        <v>24</v>
      </c>
      <c r="K945" t="s">
        <v>212</v>
      </c>
      <c r="L945" t="s">
        <v>56</v>
      </c>
      <c r="M945" t="s">
        <v>83</v>
      </c>
      <c r="N945" t="s">
        <v>4579</v>
      </c>
      <c r="O945" t="s">
        <v>48</v>
      </c>
      <c r="P945" t="s">
        <v>49</v>
      </c>
      <c r="Q945" t="s">
        <v>2514</v>
      </c>
      <c r="R945">
        <v>1186.72</v>
      </c>
      <c r="S945">
        <v>7</v>
      </c>
      <c r="T945">
        <v>0.2</v>
      </c>
      <c r="U945">
        <v>517.27</v>
      </c>
    </row>
    <row r="946" spans="1:21" x14ac:dyDescent="0.35">
      <c r="A946" t="s">
        <v>4580</v>
      </c>
      <c r="B946" s="2">
        <v>43767</v>
      </c>
      <c r="C946" s="2" t="str">
        <f t="shared" si="28"/>
        <v>October</v>
      </c>
      <c r="D946" s="2" t="str">
        <f t="shared" si="29"/>
        <v>2019</v>
      </c>
      <c r="E946" s="2" t="s">
        <v>6152</v>
      </c>
      <c r="F946" t="s">
        <v>42</v>
      </c>
      <c r="G946" t="s">
        <v>4581</v>
      </c>
      <c r="H946" t="s">
        <v>4582</v>
      </c>
      <c r="I946" t="s">
        <v>35</v>
      </c>
      <c r="J946" t="s">
        <v>24</v>
      </c>
      <c r="K946" t="s">
        <v>36</v>
      </c>
      <c r="L946" t="s">
        <v>65</v>
      </c>
      <c r="M946" t="s">
        <v>57</v>
      </c>
      <c r="N946" t="s">
        <v>4583</v>
      </c>
      <c r="O946" t="s">
        <v>67</v>
      </c>
      <c r="P946" t="s">
        <v>197</v>
      </c>
      <c r="Q946" t="s">
        <v>4584</v>
      </c>
      <c r="R946">
        <v>1493.17</v>
      </c>
      <c r="S946">
        <v>4</v>
      </c>
      <c r="T946">
        <v>0</v>
      </c>
      <c r="U946">
        <v>414.16</v>
      </c>
    </row>
    <row r="947" spans="1:21" x14ac:dyDescent="0.35">
      <c r="A947" t="s">
        <v>4585</v>
      </c>
      <c r="B947" s="2">
        <v>43017</v>
      </c>
      <c r="C947" s="2" t="str">
        <f t="shared" si="28"/>
        <v>October</v>
      </c>
      <c r="D947" s="2" t="str">
        <f t="shared" si="29"/>
        <v>2017</v>
      </c>
      <c r="E947" s="2">
        <v>43018</v>
      </c>
      <c r="F947" t="s">
        <v>42</v>
      </c>
      <c r="G947" t="s">
        <v>4586</v>
      </c>
      <c r="H947" t="s">
        <v>4587</v>
      </c>
      <c r="I947" t="s">
        <v>35</v>
      </c>
      <c r="J947" t="s">
        <v>24</v>
      </c>
      <c r="K947" t="s">
        <v>97</v>
      </c>
      <c r="L947" t="s">
        <v>36</v>
      </c>
      <c r="M947" t="s">
        <v>83</v>
      </c>
      <c r="N947" t="s">
        <v>4588</v>
      </c>
      <c r="O947" t="s">
        <v>29</v>
      </c>
      <c r="P947" t="s">
        <v>155</v>
      </c>
      <c r="Q947" t="s">
        <v>4589</v>
      </c>
      <c r="R947">
        <v>775.6</v>
      </c>
      <c r="S947">
        <v>9</v>
      </c>
      <c r="T947">
        <v>0</v>
      </c>
      <c r="U947">
        <v>37.630000000000003</v>
      </c>
    </row>
    <row r="948" spans="1:21" x14ac:dyDescent="0.35">
      <c r="A948" t="s">
        <v>4590</v>
      </c>
      <c r="B948" s="2">
        <v>43656</v>
      </c>
      <c r="C948" s="2" t="str">
        <f t="shared" si="28"/>
        <v>July</v>
      </c>
      <c r="D948" s="2" t="str">
        <f t="shared" si="29"/>
        <v>2019</v>
      </c>
      <c r="E948" s="2">
        <v>43806</v>
      </c>
      <c r="F948" t="s">
        <v>42</v>
      </c>
      <c r="G948" t="s">
        <v>4591</v>
      </c>
      <c r="H948" t="s">
        <v>4592</v>
      </c>
      <c r="I948" t="s">
        <v>55</v>
      </c>
      <c r="J948" t="s">
        <v>24</v>
      </c>
      <c r="K948" t="s">
        <v>36</v>
      </c>
      <c r="L948" t="s">
        <v>170</v>
      </c>
      <c r="M948" t="s">
        <v>27</v>
      </c>
      <c r="N948" t="s">
        <v>4593</v>
      </c>
      <c r="O948" t="s">
        <v>48</v>
      </c>
      <c r="P948" t="s">
        <v>76</v>
      </c>
      <c r="Q948" t="s">
        <v>4594</v>
      </c>
      <c r="R948">
        <v>1201.8499999999999</v>
      </c>
      <c r="S948">
        <v>10</v>
      </c>
      <c r="T948">
        <v>0.4</v>
      </c>
      <c r="U948">
        <v>-353.97</v>
      </c>
    </row>
    <row r="949" spans="1:21" x14ac:dyDescent="0.35">
      <c r="A949" t="s">
        <v>4595</v>
      </c>
      <c r="B949" s="2">
        <v>43343</v>
      </c>
      <c r="C949" s="2" t="str">
        <f t="shared" si="28"/>
        <v>August</v>
      </c>
      <c r="D949" s="2" t="str">
        <f t="shared" si="29"/>
        <v>2018</v>
      </c>
      <c r="E949" s="2">
        <v>43168</v>
      </c>
      <c r="F949" t="s">
        <v>42</v>
      </c>
      <c r="G949" t="s">
        <v>4596</v>
      </c>
      <c r="H949" t="s">
        <v>4597</v>
      </c>
      <c r="I949" t="s">
        <v>35</v>
      </c>
      <c r="J949" t="s">
        <v>24</v>
      </c>
      <c r="K949" t="s">
        <v>45</v>
      </c>
      <c r="L949" t="s">
        <v>56</v>
      </c>
      <c r="M949" t="s">
        <v>57</v>
      </c>
      <c r="N949" t="s">
        <v>4598</v>
      </c>
      <c r="O949" t="s">
        <v>67</v>
      </c>
      <c r="P949" t="s">
        <v>92</v>
      </c>
      <c r="Q949" t="s">
        <v>4599</v>
      </c>
      <c r="R949">
        <v>744.03</v>
      </c>
      <c r="S949">
        <v>2</v>
      </c>
      <c r="T949">
        <v>0.3</v>
      </c>
      <c r="U949">
        <v>56.54</v>
      </c>
    </row>
    <row r="950" spans="1:21" x14ac:dyDescent="0.35">
      <c r="A950" t="s">
        <v>4600</v>
      </c>
      <c r="B950" s="2">
        <v>42927</v>
      </c>
      <c r="C950" s="2" t="str">
        <f t="shared" si="28"/>
        <v>July</v>
      </c>
      <c r="D950" s="2" t="str">
        <f t="shared" si="29"/>
        <v>2017</v>
      </c>
      <c r="E950" s="2" t="s">
        <v>5954</v>
      </c>
      <c r="F950" t="s">
        <v>62</v>
      </c>
      <c r="G950" t="s">
        <v>4601</v>
      </c>
      <c r="H950" t="s">
        <v>4602</v>
      </c>
      <c r="I950" t="s">
        <v>35</v>
      </c>
      <c r="J950" t="s">
        <v>24</v>
      </c>
      <c r="K950" t="s">
        <v>97</v>
      </c>
      <c r="L950" t="s">
        <v>170</v>
      </c>
      <c r="M950" t="s">
        <v>74</v>
      </c>
      <c r="N950" t="s">
        <v>4603</v>
      </c>
      <c r="O950" t="s">
        <v>67</v>
      </c>
      <c r="P950" t="s">
        <v>68</v>
      </c>
      <c r="Q950" t="s">
        <v>4604</v>
      </c>
      <c r="R950">
        <v>964.7</v>
      </c>
      <c r="S950">
        <v>2</v>
      </c>
      <c r="T950">
        <v>0.3</v>
      </c>
      <c r="U950">
        <v>378.44</v>
      </c>
    </row>
    <row r="951" spans="1:21" x14ac:dyDescent="0.35">
      <c r="A951" t="s">
        <v>4605</v>
      </c>
      <c r="B951" s="2">
        <v>42984</v>
      </c>
      <c r="C951" s="2" t="str">
        <f t="shared" si="28"/>
        <v>September</v>
      </c>
      <c r="D951" s="2" t="str">
        <f t="shared" si="29"/>
        <v>2017</v>
      </c>
      <c r="E951" s="2">
        <v>43048</v>
      </c>
      <c r="F951" t="s">
        <v>20</v>
      </c>
      <c r="G951" t="s">
        <v>4606</v>
      </c>
      <c r="H951" t="s">
        <v>954</v>
      </c>
      <c r="I951" t="s">
        <v>55</v>
      </c>
      <c r="J951" t="s">
        <v>24</v>
      </c>
      <c r="K951" t="s">
        <v>81</v>
      </c>
      <c r="L951" t="s">
        <v>26</v>
      </c>
      <c r="M951" t="s">
        <v>27</v>
      </c>
      <c r="N951" t="s">
        <v>4607</v>
      </c>
      <c r="O951" t="s">
        <v>67</v>
      </c>
      <c r="P951" t="s">
        <v>350</v>
      </c>
      <c r="Q951" t="s">
        <v>4608</v>
      </c>
      <c r="R951">
        <v>1376.35</v>
      </c>
      <c r="S951">
        <v>6</v>
      </c>
      <c r="T951">
        <v>0.4</v>
      </c>
      <c r="U951">
        <v>645.5</v>
      </c>
    </row>
    <row r="952" spans="1:21" x14ac:dyDescent="0.35">
      <c r="A952" t="s">
        <v>4609</v>
      </c>
      <c r="B952" s="2">
        <v>42655</v>
      </c>
      <c r="C952" s="2" t="str">
        <f t="shared" si="28"/>
        <v>October</v>
      </c>
      <c r="D952" s="2" t="str">
        <f t="shared" si="29"/>
        <v>2016</v>
      </c>
      <c r="E952" s="2" t="s">
        <v>6059</v>
      </c>
      <c r="F952" t="s">
        <v>52</v>
      </c>
      <c r="G952" t="s">
        <v>4610</v>
      </c>
      <c r="H952" t="s">
        <v>4611</v>
      </c>
      <c r="I952" t="s">
        <v>23</v>
      </c>
      <c r="J952" t="s">
        <v>24</v>
      </c>
      <c r="K952" t="s">
        <v>133</v>
      </c>
      <c r="L952" t="s">
        <v>82</v>
      </c>
      <c r="M952" t="s">
        <v>27</v>
      </c>
      <c r="N952" t="s">
        <v>4612</v>
      </c>
      <c r="O952" t="s">
        <v>67</v>
      </c>
      <c r="P952" t="s">
        <v>197</v>
      </c>
      <c r="Q952" t="s">
        <v>4613</v>
      </c>
      <c r="R952">
        <v>1666.5</v>
      </c>
      <c r="S952">
        <v>4</v>
      </c>
      <c r="T952">
        <v>0</v>
      </c>
      <c r="U952">
        <v>-19.12</v>
      </c>
    </row>
    <row r="953" spans="1:21" x14ac:dyDescent="0.35">
      <c r="A953" t="s">
        <v>4614</v>
      </c>
      <c r="B953" s="2">
        <v>43410</v>
      </c>
      <c r="C953" s="2" t="str">
        <f t="shared" si="28"/>
        <v>November</v>
      </c>
      <c r="D953" s="2" t="str">
        <f t="shared" si="29"/>
        <v>2018</v>
      </c>
      <c r="E953" s="2">
        <v>43354</v>
      </c>
      <c r="F953" t="s">
        <v>52</v>
      </c>
      <c r="G953" t="s">
        <v>4615</v>
      </c>
      <c r="H953" t="s">
        <v>4616</v>
      </c>
      <c r="I953" t="s">
        <v>35</v>
      </c>
      <c r="J953" t="s">
        <v>24</v>
      </c>
      <c r="K953" t="s">
        <v>73</v>
      </c>
      <c r="L953" t="s">
        <v>170</v>
      </c>
      <c r="M953" t="s">
        <v>83</v>
      </c>
      <c r="N953" t="s">
        <v>4617</v>
      </c>
      <c r="O953" t="s">
        <v>67</v>
      </c>
      <c r="P953" t="s">
        <v>117</v>
      </c>
      <c r="Q953" t="s">
        <v>4618</v>
      </c>
      <c r="R953">
        <v>1210.94</v>
      </c>
      <c r="S953">
        <v>9</v>
      </c>
      <c r="T953">
        <v>0</v>
      </c>
      <c r="U953">
        <v>367.82</v>
      </c>
    </row>
    <row r="954" spans="1:21" x14ac:dyDescent="0.35">
      <c r="A954" t="s">
        <v>4619</v>
      </c>
      <c r="B954" s="2">
        <v>43106</v>
      </c>
      <c r="C954" s="2" t="str">
        <f t="shared" si="28"/>
        <v>January</v>
      </c>
      <c r="D954" s="2" t="str">
        <f t="shared" si="29"/>
        <v>2018</v>
      </c>
      <c r="E954" s="2" t="s">
        <v>6255</v>
      </c>
      <c r="F954" t="s">
        <v>62</v>
      </c>
      <c r="G954" t="s">
        <v>4620</v>
      </c>
      <c r="H954" t="s">
        <v>4621</v>
      </c>
      <c r="I954" t="s">
        <v>23</v>
      </c>
      <c r="J954" t="s">
        <v>24</v>
      </c>
      <c r="K954" t="s">
        <v>212</v>
      </c>
      <c r="L954" t="s">
        <v>36</v>
      </c>
      <c r="M954" t="s">
        <v>74</v>
      </c>
      <c r="N954" t="s">
        <v>4622</v>
      </c>
      <c r="O954" t="s">
        <v>67</v>
      </c>
      <c r="P954" t="s">
        <v>197</v>
      </c>
      <c r="Q954" t="s">
        <v>4623</v>
      </c>
      <c r="R954">
        <v>1047.22</v>
      </c>
      <c r="S954">
        <v>1</v>
      </c>
      <c r="T954">
        <v>0</v>
      </c>
      <c r="U954">
        <v>278.56</v>
      </c>
    </row>
    <row r="955" spans="1:21" x14ac:dyDescent="0.35">
      <c r="A955" t="s">
        <v>4624</v>
      </c>
      <c r="B955" s="2">
        <v>42805</v>
      </c>
      <c r="C955" s="2" t="str">
        <f t="shared" si="28"/>
        <v>March</v>
      </c>
      <c r="D955" s="2" t="str">
        <f t="shared" si="29"/>
        <v>2017</v>
      </c>
      <c r="E955" s="2" t="s">
        <v>6045</v>
      </c>
      <c r="F955" t="s">
        <v>20</v>
      </c>
      <c r="G955" t="s">
        <v>4625</v>
      </c>
      <c r="H955" t="s">
        <v>4626</v>
      </c>
      <c r="I955" t="s">
        <v>23</v>
      </c>
      <c r="J955" t="s">
        <v>24</v>
      </c>
      <c r="K955" t="s">
        <v>133</v>
      </c>
      <c r="L955" t="s">
        <v>46</v>
      </c>
      <c r="M955" t="s">
        <v>57</v>
      </c>
      <c r="N955" t="s">
        <v>4627</v>
      </c>
      <c r="O955" t="s">
        <v>29</v>
      </c>
      <c r="P955" t="s">
        <v>110</v>
      </c>
      <c r="Q955" t="s">
        <v>4628</v>
      </c>
      <c r="R955">
        <v>914.71</v>
      </c>
      <c r="S955">
        <v>10</v>
      </c>
      <c r="T955">
        <v>0.3</v>
      </c>
      <c r="U955">
        <v>-274.33999999999997</v>
      </c>
    </row>
    <row r="956" spans="1:21" x14ac:dyDescent="0.35">
      <c r="A956" t="s">
        <v>4629</v>
      </c>
      <c r="B956" s="2">
        <v>42753</v>
      </c>
      <c r="C956" s="2" t="str">
        <f t="shared" si="28"/>
        <v>January</v>
      </c>
      <c r="D956" s="2" t="str">
        <f t="shared" si="29"/>
        <v>2017</v>
      </c>
      <c r="E956" s="2" t="s">
        <v>6361</v>
      </c>
      <c r="F956" t="s">
        <v>20</v>
      </c>
      <c r="G956" t="s">
        <v>4630</v>
      </c>
      <c r="H956" t="s">
        <v>4631</v>
      </c>
      <c r="I956" t="s">
        <v>35</v>
      </c>
      <c r="J956" t="s">
        <v>24</v>
      </c>
      <c r="K956" t="s">
        <v>89</v>
      </c>
      <c r="L956" t="s">
        <v>82</v>
      </c>
      <c r="M956" t="s">
        <v>83</v>
      </c>
      <c r="N956" t="s">
        <v>4632</v>
      </c>
      <c r="O956" t="s">
        <v>29</v>
      </c>
      <c r="P956" t="s">
        <v>30</v>
      </c>
      <c r="Q956" t="s">
        <v>2634</v>
      </c>
      <c r="R956">
        <v>156.38</v>
      </c>
      <c r="S956">
        <v>5</v>
      </c>
      <c r="T956">
        <v>0.2</v>
      </c>
      <c r="U956">
        <v>56.79</v>
      </c>
    </row>
    <row r="957" spans="1:21" x14ac:dyDescent="0.35">
      <c r="A957" t="s">
        <v>4633</v>
      </c>
      <c r="B957" s="2">
        <v>43366</v>
      </c>
      <c r="C957" s="2" t="str">
        <f t="shared" si="28"/>
        <v>September</v>
      </c>
      <c r="D957" s="2" t="str">
        <f t="shared" si="29"/>
        <v>2018</v>
      </c>
      <c r="E957" s="2">
        <v>43141</v>
      </c>
      <c r="F957" t="s">
        <v>62</v>
      </c>
      <c r="G957" t="s">
        <v>4634</v>
      </c>
      <c r="H957" t="s">
        <v>4635</v>
      </c>
      <c r="I957" t="s">
        <v>55</v>
      </c>
      <c r="J957" t="s">
        <v>24</v>
      </c>
      <c r="K957" t="s">
        <v>212</v>
      </c>
      <c r="L957" t="s">
        <v>26</v>
      </c>
      <c r="M957" t="s">
        <v>74</v>
      </c>
      <c r="N957" t="s">
        <v>4636</v>
      </c>
      <c r="O957" t="s">
        <v>29</v>
      </c>
      <c r="P957" t="s">
        <v>30</v>
      </c>
      <c r="Q957" t="s">
        <v>3814</v>
      </c>
      <c r="R957">
        <v>1605.27</v>
      </c>
      <c r="S957">
        <v>8</v>
      </c>
      <c r="T957">
        <v>0</v>
      </c>
      <c r="U957">
        <v>744.39</v>
      </c>
    </row>
    <row r="958" spans="1:21" x14ac:dyDescent="0.35">
      <c r="A958" t="s">
        <v>4637</v>
      </c>
      <c r="B958" s="2">
        <v>43156</v>
      </c>
      <c r="C958" s="2" t="str">
        <f t="shared" si="28"/>
        <v>February</v>
      </c>
      <c r="D958" s="2" t="str">
        <f t="shared" si="29"/>
        <v>2018</v>
      </c>
      <c r="E958" s="2">
        <v>43223</v>
      </c>
      <c r="F958" t="s">
        <v>42</v>
      </c>
      <c r="G958" t="s">
        <v>4638</v>
      </c>
      <c r="H958" t="s">
        <v>4639</v>
      </c>
      <c r="I958" t="s">
        <v>23</v>
      </c>
      <c r="J958" t="s">
        <v>24</v>
      </c>
      <c r="K958" t="s">
        <v>81</v>
      </c>
      <c r="L958" t="s">
        <v>82</v>
      </c>
      <c r="M958" t="s">
        <v>83</v>
      </c>
      <c r="N958" t="s">
        <v>4640</v>
      </c>
      <c r="O958" t="s">
        <v>67</v>
      </c>
      <c r="P958" t="s">
        <v>350</v>
      </c>
      <c r="Q958" t="s">
        <v>4641</v>
      </c>
      <c r="R958">
        <v>666.19</v>
      </c>
      <c r="S958">
        <v>5</v>
      </c>
      <c r="T958">
        <v>0</v>
      </c>
      <c r="U958">
        <v>-72.17</v>
      </c>
    </row>
    <row r="959" spans="1:21" x14ac:dyDescent="0.35">
      <c r="A959" t="s">
        <v>4642</v>
      </c>
      <c r="B959" s="2">
        <v>42996</v>
      </c>
      <c r="C959" s="2" t="str">
        <f t="shared" si="28"/>
        <v>September</v>
      </c>
      <c r="D959" s="2" t="str">
        <f t="shared" si="29"/>
        <v>2017</v>
      </c>
      <c r="E959" s="2" t="s">
        <v>6090</v>
      </c>
      <c r="F959" t="s">
        <v>62</v>
      </c>
      <c r="G959" t="s">
        <v>4643</v>
      </c>
      <c r="H959" t="s">
        <v>4169</v>
      </c>
      <c r="I959" t="s">
        <v>35</v>
      </c>
      <c r="J959" t="s">
        <v>24</v>
      </c>
      <c r="K959" t="s">
        <v>212</v>
      </c>
      <c r="L959" t="s">
        <v>170</v>
      </c>
      <c r="M959" t="s">
        <v>27</v>
      </c>
      <c r="N959" t="s">
        <v>4644</v>
      </c>
      <c r="O959" t="s">
        <v>48</v>
      </c>
      <c r="P959" t="s">
        <v>76</v>
      </c>
      <c r="Q959" t="s">
        <v>4645</v>
      </c>
      <c r="R959">
        <v>1452.23</v>
      </c>
      <c r="S959">
        <v>4</v>
      </c>
      <c r="T959">
        <v>0.4</v>
      </c>
      <c r="U959">
        <v>650.80999999999995</v>
      </c>
    </row>
    <row r="960" spans="1:21" x14ac:dyDescent="0.35">
      <c r="A960" t="s">
        <v>4646</v>
      </c>
      <c r="B960" s="2">
        <v>43687</v>
      </c>
      <c r="C960" s="2" t="str">
        <f t="shared" si="28"/>
        <v>August</v>
      </c>
      <c r="D960" s="2" t="str">
        <f t="shared" si="29"/>
        <v>2019</v>
      </c>
      <c r="E960" s="2" t="s">
        <v>6251</v>
      </c>
      <c r="F960" t="s">
        <v>42</v>
      </c>
      <c r="G960" t="s">
        <v>4647</v>
      </c>
      <c r="H960" t="s">
        <v>2278</v>
      </c>
      <c r="I960" t="s">
        <v>35</v>
      </c>
      <c r="J960" t="s">
        <v>24</v>
      </c>
      <c r="K960" t="s">
        <v>36</v>
      </c>
      <c r="L960" t="s">
        <v>37</v>
      </c>
      <c r="M960" t="s">
        <v>27</v>
      </c>
      <c r="N960" t="s">
        <v>4648</v>
      </c>
      <c r="O960" t="s">
        <v>29</v>
      </c>
      <c r="P960" t="s">
        <v>30</v>
      </c>
      <c r="Q960" t="s">
        <v>3546</v>
      </c>
      <c r="R960">
        <v>875.7</v>
      </c>
      <c r="S960">
        <v>9</v>
      </c>
      <c r="T960">
        <v>0.4</v>
      </c>
      <c r="U960">
        <v>123.69</v>
      </c>
    </row>
    <row r="961" spans="1:21" x14ac:dyDescent="0.35">
      <c r="A961" t="s">
        <v>4649</v>
      </c>
      <c r="B961" s="2">
        <v>43359</v>
      </c>
      <c r="C961" s="2" t="str">
        <f t="shared" si="28"/>
        <v>September</v>
      </c>
      <c r="D961" s="2" t="str">
        <f t="shared" si="29"/>
        <v>2018</v>
      </c>
      <c r="E961" s="2" t="s">
        <v>6362</v>
      </c>
      <c r="F961" t="s">
        <v>42</v>
      </c>
      <c r="G961" t="s">
        <v>4650</v>
      </c>
      <c r="H961" t="s">
        <v>4651</v>
      </c>
      <c r="I961" t="s">
        <v>23</v>
      </c>
      <c r="J961" t="s">
        <v>24</v>
      </c>
      <c r="K961" t="s">
        <v>212</v>
      </c>
      <c r="L961" t="s">
        <v>82</v>
      </c>
      <c r="M961" t="s">
        <v>74</v>
      </c>
      <c r="N961" t="s">
        <v>4652</v>
      </c>
      <c r="O961" t="s">
        <v>48</v>
      </c>
      <c r="P961" t="s">
        <v>49</v>
      </c>
      <c r="Q961" t="s">
        <v>4653</v>
      </c>
      <c r="R961">
        <v>228.32</v>
      </c>
      <c r="S961">
        <v>2</v>
      </c>
      <c r="T961">
        <v>0.4</v>
      </c>
      <c r="U961">
        <v>69.239999999999995</v>
      </c>
    </row>
    <row r="962" spans="1:21" x14ac:dyDescent="0.35">
      <c r="A962" t="s">
        <v>4654</v>
      </c>
      <c r="B962" s="2">
        <v>43559</v>
      </c>
      <c r="C962" s="2" t="str">
        <f t="shared" si="28"/>
        <v>April</v>
      </c>
      <c r="D962" s="2" t="str">
        <f t="shared" si="29"/>
        <v>2019</v>
      </c>
      <c r="E962" s="2">
        <v>43773</v>
      </c>
      <c r="F962" t="s">
        <v>52</v>
      </c>
      <c r="G962" t="s">
        <v>4655</v>
      </c>
      <c r="H962" t="s">
        <v>4656</v>
      </c>
      <c r="I962" t="s">
        <v>55</v>
      </c>
      <c r="J962" t="s">
        <v>24</v>
      </c>
      <c r="K962" t="s">
        <v>103</v>
      </c>
      <c r="L962" t="s">
        <v>37</v>
      </c>
      <c r="M962" t="s">
        <v>57</v>
      </c>
      <c r="N962" t="s">
        <v>4657</v>
      </c>
      <c r="O962" t="s">
        <v>67</v>
      </c>
      <c r="P962" t="s">
        <v>68</v>
      </c>
      <c r="Q962" t="s">
        <v>4658</v>
      </c>
      <c r="R962">
        <v>1588.14</v>
      </c>
      <c r="S962">
        <v>5</v>
      </c>
      <c r="T962">
        <v>0.2</v>
      </c>
      <c r="U962">
        <v>8.91</v>
      </c>
    </row>
    <row r="963" spans="1:21" x14ac:dyDescent="0.35">
      <c r="A963" t="s">
        <v>4659</v>
      </c>
      <c r="B963" s="2">
        <v>42674</v>
      </c>
      <c r="C963" s="2" t="str">
        <f t="shared" ref="C963:C1026" si="30">TEXT(B963,"mmmm")</f>
        <v>October</v>
      </c>
      <c r="D963" s="2" t="str">
        <f t="shared" ref="D963:D1026" si="31">TEXT(B963,"yyyy")</f>
        <v>2016</v>
      </c>
      <c r="E963" s="2">
        <v>42593</v>
      </c>
      <c r="F963" t="s">
        <v>20</v>
      </c>
      <c r="G963" t="s">
        <v>4660</v>
      </c>
      <c r="H963" t="s">
        <v>4661</v>
      </c>
      <c r="I963" t="s">
        <v>35</v>
      </c>
      <c r="J963" t="s">
        <v>24</v>
      </c>
      <c r="K963" t="s">
        <v>212</v>
      </c>
      <c r="L963" t="s">
        <v>36</v>
      </c>
      <c r="M963" t="s">
        <v>27</v>
      </c>
      <c r="N963" t="s">
        <v>4662</v>
      </c>
      <c r="O963" t="s">
        <v>48</v>
      </c>
      <c r="P963" t="s">
        <v>76</v>
      </c>
      <c r="Q963" t="s">
        <v>4663</v>
      </c>
      <c r="R963">
        <v>1295.26</v>
      </c>
      <c r="S963">
        <v>4</v>
      </c>
      <c r="T963">
        <v>0</v>
      </c>
      <c r="U963">
        <v>-335.3</v>
      </c>
    </row>
    <row r="964" spans="1:21" x14ac:dyDescent="0.35">
      <c r="A964" t="s">
        <v>4664</v>
      </c>
      <c r="B964" s="2">
        <v>43732</v>
      </c>
      <c r="C964" s="2" t="str">
        <f t="shared" si="30"/>
        <v>September</v>
      </c>
      <c r="D964" s="2" t="str">
        <f t="shared" si="31"/>
        <v>2019</v>
      </c>
      <c r="E964" s="2" t="s">
        <v>6167</v>
      </c>
      <c r="F964" t="s">
        <v>52</v>
      </c>
      <c r="G964" t="s">
        <v>4665</v>
      </c>
      <c r="H964" t="s">
        <v>4666</v>
      </c>
      <c r="I964" t="s">
        <v>55</v>
      </c>
      <c r="J964" t="s">
        <v>24</v>
      </c>
      <c r="K964" t="s">
        <v>45</v>
      </c>
      <c r="L964" t="s">
        <v>26</v>
      </c>
      <c r="M964" t="s">
        <v>27</v>
      </c>
      <c r="N964" t="s">
        <v>4667</v>
      </c>
      <c r="O964" t="s">
        <v>48</v>
      </c>
      <c r="P964" t="s">
        <v>128</v>
      </c>
      <c r="Q964" t="s">
        <v>4668</v>
      </c>
      <c r="R964">
        <v>250.33</v>
      </c>
      <c r="S964">
        <v>3</v>
      </c>
      <c r="T964">
        <v>0</v>
      </c>
      <c r="U964">
        <v>-52.02</v>
      </c>
    </row>
    <row r="965" spans="1:21" x14ac:dyDescent="0.35">
      <c r="A965" t="s">
        <v>4669</v>
      </c>
      <c r="B965" s="2">
        <v>42458</v>
      </c>
      <c r="C965" s="2" t="str">
        <f t="shared" si="30"/>
        <v>March</v>
      </c>
      <c r="D965" s="2" t="str">
        <f t="shared" si="31"/>
        <v>2016</v>
      </c>
      <c r="E965" s="2">
        <v>42525</v>
      </c>
      <c r="F965" t="s">
        <v>62</v>
      </c>
      <c r="G965" t="s">
        <v>4670</v>
      </c>
      <c r="H965" t="s">
        <v>1597</v>
      </c>
      <c r="I965" t="s">
        <v>35</v>
      </c>
      <c r="J965" t="s">
        <v>24</v>
      </c>
      <c r="K965" t="s">
        <v>212</v>
      </c>
      <c r="L965" t="s">
        <v>37</v>
      </c>
      <c r="M965" t="s">
        <v>83</v>
      </c>
      <c r="N965" t="s">
        <v>4671</v>
      </c>
      <c r="O965" t="s">
        <v>48</v>
      </c>
      <c r="P965" t="s">
        <v>59</v>
      </c>
      <c r="Q965" t="s">
        <v>4672</v>
      </c>
      <c r="R965">
        <v>595.63</v>
      </c>
      <c r="S965">
        <v>6</v>
      </c>
      <c r="T965">
        <v>0</v>
      </c>
      <c r="U965">
        <v>215.23</v>
      </c>
    </row>
    <row r="966" spans="1:21" x14ac:dyDescent="0.35">
      <c r="A966" t="s">
        <v>4673</v>
      </c>
      <c r="B966" s="2">
        <v>42870</v>
      </c>
      <c r="C966" s="2" t="str">
        <f t="shared" si="30"/>
        <v>May</v>
      </c>
      <c r="D966" s="2" t="str">
        <f t="shared" si="31"/>
        <v>2017</v>
      </c>
      <c r="E966" s="2" t="s">
        <v>6035</v>
      </c>
      <c r="F966" t="s">
        <v>52</v>
      </c>
      <c r="G966" t="s">
        <v>4674</v>
      </c>
      <c r="H966" t="s">
        <v>4675</v>
      </c>
      <c r="I966" t="s">
        <v>23</v>
      </c>
      <c r="J966" t="s">
        <v>24</v>
      </c>
      <c r="K966" t="s">
        <v>133</v>
      </c>
      <c r="L966" t="s">
        <v>46</v>
      </c>
      <c r="M966" t="s">
        <v>57</v>
      </c>
      <c r="N966" t="s">
        <v>4676</v>
      </c>
      <c r="O966" t="s">
        <v>67</v>
      </c>
      <c r="P966" t="s">
        <v>229</v>
      </c>
      <c r="Q966" t="s">
        <v>4677</v>
      </c>
      <c r="R966">
        <v>1214.67</v>
      </c>
      <c r="S966">
        <v>5</v>
      </c>
      <c r="T966">
        <v>0</v>
      </c>
      <c r="U966">
        <v>-228.74</v>
      </c>
    </row>
    <row r="967" spans="1:21" x14ac:dyDescent="0.35">
      <c r="A967" t="s">
        <v>4678</v>
      </c>
      <c r="B967" s="2">
        <v>43171</v>
      </c>
      <c r="C967" s="2" t="str">
        <f t="shared" si="30"/>
        <v>March</v>
      </c>
      <c r="D967" s="2" t="str">
        <f t="shared" si="31"/>
        <v>2018</v>
      </c>
      <c r="E967" s="2" t="s">
        <v>6127</v>
      </c>
      <c r="F967" t="s">
        <v>62</v>
      </c>
      <c r="G967" t="s">
        <v>4679</v>
      </c>
      <c r="H967" t="s">
        <v>4680</v>
      </c>
      <c r="I967" t="s">
        <v>55</v>
      </c>
      <c r="J967" t="s">
        <v>24</v>
      </c>
      <c r="K967" t="s">
        <v>73</v>
      </c>
      <c r="L967" t="s">
        <v>170</v>
      </c>
      <c r="M967" t="s">
        <v>83</v>
      </c>
      <c r="N967" t="s">
        <v>4681</v>
      </c>
      <c r="O967" t="s">
        <v>67</v>
      </c>
      <c r="P967" t="s">
        <v>197</v>
      </c>
      <c r="Q967" t="s">
        <v>4682</v>
      </c>
      <c r="R967">
        <v>1497.82</v>
      </c>
      <c r="S967">
        <v>1</v>
      </c>
      <c r="T967">
        <v>0</v>
      </c>
      <c r="U967">
        <v>-378.94</v>
      </c>
    </row>
    <row r="968" spans="1:21" x14ac:dyDescent="0.35">
      <c r="A968" t="s">
        <v>4683</v>
      </c>
      <c r="B968" s="2">
        <v>42964</v>
      </c>
      <c r="C968" s="2" t="str">
        <f t="shared" si="30"/>
        <v>August</v>
      </c>
      <c r="D968" s="2" t="str">
        <f t="shared" si="31"/>
        <v>2017</v>
      </c>
      <c r="E968" s="2" t="s">
        <v>6363</v>
      </c>
      <c r="F968" t="s">
        <v>52</v>
      </c>
      <c r="G968" t="s">
        <v>4684</v>
      </c>
      <c r="H968" t="s">
        <v>4685</v>
      </c>
      <c r="I968" t="s">
        <v>23</v>
      </c>
      <c r="J968" t="s">
        <v>24</v>
      </c>
      <c r="K968" t="s">
        <v>212</v>
      </c>
      <c r="L968" t="s">
        <v>115</v>
      </c>
      <c r="M968" t="s">
        <v>74</v>
      </c>
      <c r="N968" t="s">
        <v>4686</v>
      </c>
      <c r="O968" t="s">
        <v>29</v>
      </c>
      <c r="P968" t="s">
        <v>155</v>
      </c>
      <c r="Q968" t="s">
        <v>4687</v>
      </c>
      <c r="R968">
        <v>135.57</v>
      </c>
      <c r="S968">
        <v>9</v>
      </c>
      <c r="T968">
        <v>0.2</v>
      </c>
      <c r="U968">
        <v>-5.19</v>
      </c>
    </row>
    <row r="969" spans="1:21" x14ac:dyDescent="0.35">
      <c r="A969" t="s">
        <v>4688</v>
      </c>
      <c r="B969" s="2">
        <v>42534</v>
      </c>
      <c r="C969" s="2" t="str">
        <f t="shared" si="30"/>
        <v>June</v>
      </c>
      <c r="D969" s="2" t="str">
        <f t="shared" si="31"/>
        <v>2016</v>
      </c>
      <c r="E969" s="2" t="s">
        <v>5992</v>
      </c>
      <c r="F969" t="s">
        <v>42</v>
      </c>
      <c r="G969" t="s">
        <v>4689</v>
      </c>
      <c r="H969" t="s">
        <v>4690</v>
      </c>
      <c r="I969" t="s">
        <v>55</v>
      </c>
      <c r="J969" t="s">
        <v>24</v>
      </c>
      <c r="K969" t="s">
        <v>97</v>
      </c>
      <c r="L969" t="s">
        <v>37</v>
      </c>
      <c r="M969" t="s">
        <v>57</v>
      </c>
      <c r="N969" t="s">
        <v>4691</v>
      </c>
      <c r="O969" t="s">
        <v>48</v>
      </c>
      <c r="P969" t="s">
        <v>76</v>
      </c>
      <c r="Q969" t="s">
        <v>1015</v>
      </c>
      <c r="R969">
        <v>1589.12</v>
      </c>
      <c r="S969">
        <v>9</v>
      </c>
      <c r="T969">
        <v>0.3</v>
      </c>
      <c r="U969">
        <v>665.27</v>
      </c>
    </row>
    <row r="970" spans="1:21" x14ac:dyDescent="0.35">
      <c r="A970" t="s">
        <v>4692</v>
      </c>
      <c r="B970" s="2">
        <v>43347</v>
      </c>
      <c r="C970" s="2" t="str">
        <f t="shared" si="30"/>
        <v>September</v>
      </c>
      <c r="D970" s="2" t="str">
        <f t="shared" si="31"/>
        <v>2018</v>
      </c>
      <c r="E970" s="2">
        <v>43382</v>
      </c>
      <c r="F970" t="s">
        <v>62</v>
      </c>
      <c r="G970" t="s">
        <v>4693</v>
      </c>
      <c r="H970" t="s">
        <v>4694</v>
      </c>
      <c r="I970" t="s">
        <v>35</v>
      </c>
      <c r="J970" t="s">
        <v>24</v>
      </c>
      <c r="K970" t="s">
        <v>89</v>
      </c>
      <c r="L970" t="s">
        <v>65</v>
      </c>
      <c r="M970" t="s">
        <v>27</v>
      </c>
      <c r="N970" t="s">
        <v>4695</v>
      </c>
      <c r="O970" t="s">
        <v>29</v>
      </c>
      <c r="P970" t="s">
        <v>110</v>
      </c>
      <c r="Q970" t="s">
        <v>1472</v>
      </c>
      <c r="R970">
        <v>1349.79</v>
      </c>
      <c r="S970">
        <v>2</v>
      </c>
      <c r="T970">
        <v>0.4</v>
      </c>
      <c r="U970">
        <v>-355.93</v>
      </c>
    </row>
    <row r="971" spans="1:21" x14ac:dyDescent="0.35">
      <c r="A971" t="s">
        <v>4696</v>
      </c>
      <c r="B971" s="2">
        <v>42420</v>
      </c>
      <c r="C971" s="2" t="str">
        <f t="shared" si="30"/>
        <v>February</v>
      </c>
      <c r="D971" s="2" t="str">
        <f t="shared" si="31"/>
        <v>2016</v>
      </c>
      <c r="E971" s="2">
        <v>42372</v>
      </c>
      <c r="F971" t="s">
        <v>52</v>
      </c>
      <c r="G971" t="s">
        <v>4697</v>
      </c>
      <c r="H971" t="s">
        <v>4698</v>
      </c>
      <c r="I971" t="s">
        <v>35</v>
      </c>
      <c r="J971" t="s">
        <v>24</v>
      </c>
      <c r="K971" t="s">
        <v>212</v>
      </c>
      <c r="L971" t="s">
        <v>170</v>
      </c>
      <c r="M971" t="s">
        <v>27</v>
      </c>
      <c r="N971" t="s">
        <v>4699</v>
      </c>
      <c r="O971" t="s">
        <v>48</v>
      </c>
      <c r="P971" t="s">
        <v>49</v>
      </c>
      <c r="Q971" t="s">
        <v>4157</v>
      </c>
      <c r="R971">
        <v>1543.66</v>
      </c>
      <c r="S971">
        <v>7</v>
      </c>
      <c r="T971">
        <v>0.3</v>
      </c>
      <c r="U971">
        <v>-8</v>
      </c>
    </row>
    <row r="972" spans="1:21" x14ac:dyDescent="0.35">
      <c r="A972" t="s">
        <v>4700</v>
      </c>
      <c r="B972" s="2">
        <v>42653</v>
      </c>
      <c r="C972" s="2" t="str">
        <f t="shared" si="30"/>
        <v>October</v>
      </c>
      <c r="D972" s="2" t="str">
        <f t="shared" si="31"/>
        <v>2016</v>
      </c>
      <c r="E972" s="2" t="s">
        <v>5995</v>
      </c>
      <c r="F972" t="s">
        <v>52</v>
      </c>
      <c r="G972" t="s">
        <v>4701</v>
      </c>
      <c r="H972" t="s">
        <v>4702</v>
      </c>
      <c r="I972" t="s">
        <v>35</v>
      </c>
      <c r="J972" t="s">
        <v>24</v>
      </c>
      <c r="K972" t="s">
        <v>97</v>
      </c>
      <c r="L972" t="s">
        <v>170</v>
      </c>
      <c r="M972" t="s">
        <v>57</v>
      </c>
      <c r="N972" t="s">
        <v>4703</v>
      </c>
      <c r="O972" t="s">
        <v>67</v>
      </c>
      <c r="P972" t="s">
        <v>92</v>
      </c>
      <c r="Q972" t="s">
        <v>3338</v>
      </c>
      <c r="R972">
        <v>366.19</v>
      </c>
      <c r="S972">
        <v>4</v>
      </c>
      <c r="T972">
        <v>0.1</v>
      </c>
      <c r="U972">
        <v>81.150000000000006</v>
      </c>
    </row>
    <row r="973" spans="1:21" x14ac:dyDescent="0.35">
      <c r="A973" t="s">
        <v>4704</v>
      </c>
      <c r="B973" s="2">
        <v>43266</v>
      </c>
      <c r="C973" s="2" t="str">
        <f t="shared" si="30"/>
        <v>June</v>
      </c>
      <c r="D973" s="2" t="str">
        <f t="shared" si="31"/>
        <v>2018</v>
      </c>
      <c r="E973" s="2" t="s">
        <v>6114</v>
      </c>
      <c r="F973" t="s">
        <v>20</v>
      </c>
      <c r="G973" t="s">
        <v>4705</v>
      </c>
      <c r="H973" t="s">
        <v>4706</v>
      </c>
      <c r="I973" t="s">
        <v>35</v>
      </c>
      <c r="J973" t="s">
        <v>24</v>
      </c>
      <c r="K973" t="s">
        <v>45</v>
      </c>
      <c r="L973" t="s">
        <v>90</v>
      </c>
      <c r="M973" t="s">
        <v>57</v>
      </c>
      <c r="N973" t="s">
        <v>4707</v>
      </c>
      <c r="O973" t="s">
        <v>67</v>
      </c>
      <c r="P973" t="s">
        <v>92</v>
      </c>
      <c r="Q973" t="s">
        <v>4195</v>
      </c>
      <c r="R973">
        <v>1406.31</v>
      </c>
      <c r="S973">
        <v>10</v>
      </c>
      <c r="T973">
        <v>0</v>
      </c>
      <c r="U973">
        <v>-362.25</v>
      </c>
    </row>
    <row r="974" spans="1:21" x14ac:dyDescent="0.35">
      <c r="A974" t="s">
        <v>4708</v>
      </c>
      <c r="B974" s="2">
        <v>42422</v>
      </c>
      <c r="C974" s="2" t="str">
        <f t="shared" si="30"/>
        <v>February</v>
      </c>
      <c r="D974" s="2" t="str">
        <f t="shared" si="31"/>
        <v>2016</v>
      </c>
      <c r="E974" s="2" t="s">
        <v>6364</v>
      </c>
      <c r="F974" t="s">
        <v>62</v>
      </c>
      <c r="G974" t="s">
        <v>4709</v>
      </c>
      <c r="H974" t="s">
        <v>4710</v>
      </c>
      <c r="I974" t="s">
        <v>55</v>
      </c>
      <c r="J974" t="s">
        <v>24</v>
      </c>
      <c r="K974" t="s">
        <v>45</v>
      </c>
      <c r="L974" t="s">
        <v>90</v>
      </c>
      <c r="M974" t="s">
        <v>27</v>
      </c>
      <c r="N974" t="s">
        <v>4711</v>
      </c>
      <c r="O974" t="s">
        <v>29</v>
      </c>
      <c r="P974" t="s">
        <v>155</v>
      </c>
      <c r="Q974" t="s">
        <v>4712</v>
      </c>
      <c r="R974">
        <v>1174.8599999999999</v>
      </c>
      <c r="S974">
        <v>2</v>
      </c>
      <c r="T974">
        <v>0</v>
      </c>
      <c r="U974">
        <v>92.74</v>
      </c>
    </row>
    <row r="975" spans="1:21" x14ac:dyDescent="0.35">
      <c r="A975" t="s">
        <v>4713</v>
      </c>
      <c r="B975" s="2">
        <v>42537</v>
      </c>
      <c r="C975" s="2" t="str">
        <f t="shared" si="30"/>
        <v>June</v>
      </c>
      <c r="D975" s="2" t="str">
        <f t="shared" si="31"/>
        <v>2016</v>
      </c>
      <c r="E975" s="2" t="s">
        <v>6089</v>
      </c>
      <c r="F975" t="s">
        <v>52</v>
      </c>
      <c r="G975" t="s">
        <v>4714</v>
      </c>
      <c r="H975" t="s">
        <v>4715</v>
      </c>
      <c r="I975" t="s">
        <v>23</v>
      </c>
      <c r="J975" t="s">
        <v>24</v>
      </c>
      <c r="K975" t="s">
        <v>36</v>
      </c>
      <c r="L975" t="s">
        <v>56</v>
      </c>
      <c r="M975" t="s">
        <v>57</v>
      </c>
      <c r="N975" t="s">
        <v>4716</v>
      </c>
      <c r="O975" t="s">
        <v>67</v>
      </c>
      <c r="P975" t="s">
        <v>92</v>
      </c>
      <c r="Q975" t="s">
        <v>3988</v>
      </c>
      <c r="R975">
        <v>354.49</v>
      </c>
      <c r="S975">
        <v>6</v>
      </c>
      <c r="T975">
        <v>0</v>
      </c>
      <c r="U975">
        <v>53.93</v>
      </c>
    </row>
    <row r="976" spans="1:21" x14ac:dyDescent="0.35">
      <c r="A976" t="s">
        <v>4717</v>
      </c>
      <c r="B976" s="2">
        <v>43586</v>
      </c>
      <c r="C976" s="2" t="str">
        <f t="shared" si="30"/>
        <v>May</v>
      </c>
      <c r="D976" s="2" t="str">
        <f t="shared" si="31"/>
        <v>2019</v>
      </c>
      <c r="E976" s="2">
        <v>43743</v>
      </c>
      <c r="F976" t="s">
        <v>20</v>
      </c>
      <c r="G976" t="s">
        <v>4718</v>
      </c>
      <c r="H976" t="s">
        <v>4719</v>
      </c>
      <c r="I976" t="s">
        <v>35</v>
      </c>
      <c r="J976" t="s">
        <v>24</v>
      </c>
      <c r="K976" t="s">
        <v>212</v>
      </c>
      <c r="L976" t="s">
        <v>36</v>
      </c>
      <c r="M976" t="s">
        <v>83</v>
      </c>
      <c r="N976" t="s">
        <v>4720</v>
      </c>
      <c r="O976" t="s">
        <v>67</v>
      </c>
      <c r="P976" t="s">
        <v>197</v>
      </c>
      <c r="Q976" t="s">
        <v>4721</v>
      </c>
      <c r="R976">
        <v>1183.1600000000001</v>
      </c>
      <c r="S976">
        <v>6</v>
      </c>
      <c r="T976">
        <v>0</v>
      </c>
      <c r="U976">
        <v>439.41</v>
      </c>
    </row>
    <row r="977" spans="1:21" x14ac:dyDescent="0.35">
      <c r="A977" t="s">
        <v>4722</v>
      </c>
      <c r="B977" s="2">
        <v>42425</v>
      </c>
      <c r="C977" s="2" t="str">
        <f t="shared" si="30"/>
        <v>February</v>
      </c>
      <c r="D977" s="2" t="str">
        <f t="shared" si="31"/>
        <v>2016</v>
      </c>
      <c r="E977" s="2">
        <v>42403</v>
      </c>
      <c r="F977" t="s">
        <v>62</v>
      </c>
      <c r="G977" t="s">
        <v>4723</v>
      </c>
      <c r="H977" t="s">
        <v>4724</v>
      </c>
      <c r="I977" t="s">
        <v>35</v>
      </c>
      <c r="J977" t="s">
        <v>24</v>
      </c>
      <c r="K977" t="s">
        <v>81</v>
      </c>
      <c r="L977" t="s">
        <v>115</v>
      </c>
      <c r="M977" t="s">
        <v>74</v>
      </c>
      <c r="N977" t="s">
        <v>4725</v>
      </c>
      <c r="O977" t="s">
        <v>67</v>
      </c>
      <c r="P977" t="s">
        <v>197</v>
      </c>
      <c r="Q977" t="s">
        <v>4726</v>
      </c>
      <c r="R977">
        <v>142.88999999999999</v>
      </c>
      <c r="S977">
        <v>3</v>
      </c>
      <c r="T977">
        <v>0.4</v>
      </c>
      <c r="U977">
        <v>52.46</v>
      </c>
    </row>
    <row r="978" spans="1:21" x14ac:dyDescent="0.35">
      <c r="A978" t="s">
        <v>4727</v>
      </c>
      <c r="B978" s="2">
        <v>42817</v>
      </c>
      <c r="C978" s="2" t="str">
        <f t="shared" si="30"/>
        <v>March</v>
      </c>
      <c r="D978" s="2" t="str">
        <f t="shared" si="31"/>
        <v>2017</v>
      </c>
      <c r="E978" s="2" t="s">
        <v>6055</v>
      </c>
      <c r="F978" t="s">
        <v>52</v>
      </c>
      <c r="G978" t="s">
        <v>4728</v>
      </c>
      <c r="H978" t="s">
        <v>4729</v>
      </c>
      <c r="I978" t="s">
        <v>35</v>
      </c>
      <c r="J978" t="s">
        <v>24</v>
      </c>
      <c r="K978" t="s">
        <v>89</v>
      </c>
      <c r="L978" t="s">
        <v>56</v>
      </c>
      <c r="M978" t="s">
        <v>27</v>
      </c>
      <c r="N978" t="s">
        <v>4730</v>
      </c>
      <c r="O978" t="s">
        <v>29</v>
      </c>
      <c r="P978" t="s">
        <v>155</v>
      </c>
      <c r="Q978" t="s">
        <v>4731</v>
      </c>
      <c r="R978">
        <v>1815.8</v>
      </c>
      <c r="S978">
        <v>7</v>
      </c>
      <c r="T978">
        <v>0.2</v>
      </c>
      <c r="U978">
        <v>853.69</v>
      </c>
    </row>
    <row r="979" spans="1:21" x14ac:dyDescent="0.35">
      <c r="A979" t="s">
        <v>4732</v>
      </c>
      <c r="B979" s="2">
        <v>43626</v>
      </c>
      <c r="C979" s="2" t="str">
        <f t="shared" si="30"/>
        <v>June</v>
      </c>
      <c r="D979" s="2" t="str">
        <f t="shared" si="31"/>
        <v>2019</v>
      </c>
      <c r="E979" s="2" t="s">
        <v>6365</v>
      </c>
      <c r="F979" t="s">
        <v>20</v>
      </c>
      <c r="G979" t="s">
        <v>4733</v>
      </c>
      <c r="H979" t="s">
        <v>4734</v>
      </c>
      <c r="I979" t="s">
        <v>35</v>
      </c>
      <c r="J979" t="s">
        <v>24</v>
      </c>
      <c r="K979" t="s">
        <v>133</v>
      </c>
      <c r="L979" t="s">
        <v>37</v>
      </c>
      <c r="M979" t="s">
        <v>57</v>
      </c>
      <c r="N979" t="s">
        <v>4735</v>
      </c>
      <c r="O979" t="s">
        <v>48</v>
      </c>
      <c r="P979" t="s">
        <v>59</v>
      </c>
      <c r="Q979" t="s">
        <v>4736</v>
      </c>
      <c r="R979">
        <v>1908.74</v>
      </c>
      <c r="S979">
        <v>9</v>
      </c>
      <c r="T979">
        <v>0</v>
      </c>
      <c r="U979">
        <v>-430.41</v>
      </c>
    </row>
    <row r="980" spans="1:21" x14ac:dyDescent="0.35">
      <c r="A980" t="s">
        <v>4737</v>
      </c>
      <c r="B980" s="2">
        <v>42979</v>
      </c>
      <c r="C980" s="2" t="str">
        <f t="shared" si="30"/>
        <v>September</v>
      </c>
      <c r="D980" s="2" t="str">
        <f t="shared" si="31"/>
        <v>2017</v>
      </c>
      <c r="E980" s="2">
        <v>42864</v>
      </c>
      <c r="F980" t="s">
        <v>42</v>
      </c>
      <c r="G980" t="s">
        <v>2698</v>
      </c>
      <c r="H980" t="s">
        <v>4738</v>
      </c>
      <c r="I980" t="s">
        <v>35</v>
      </c>
      <c r="J980" t="s">
        <v>24</v>
      </c>
      <c r="K980" t="s">
        <v>73</v>
      </c>
      <c r="L980" t="s">
        <v>37</v>
      </c>
      <c r="M980" t="s">
        <v>27</v>
      </c>
      <c r="N980" t="s">
        <v>4739</v>
      </c>
      <c r="O980" t="s">
        <v>48</v>
      </c>
      <c r="P980" t="s">
        <v>128</v>
      </c>
      <c r="Q980" t="s">
        <v>4740</v>
      </c>
      <c r="R980">
        <v>1983.04</v>
      </c>
      <c r="S980">
        <v>2</v>
      </c>
      <c r="T980">
        <v>0</v>
      </c>
      <c r="U980">
        <v>89.06</v>
      </c>
    </row>
    <row r="981" spans="1:21" x14ac:dyDescent="0.35">
      <c r="A981" t="s">
        <v>4741</v>
      </c>
      <c r="B981" s="2">
        <v>43682</v>
      </c>
      <c r="C981" s="2" t="str">
        <f t="shared" si="30"/>
        <v>August</v>
      </c>
      <c r="D981" s="2" t="str">
        <f t="shared" si="31"/>
        <v>2019</v>
      </c>
      <c r="E981" s="2">
        <v>43654</v>
      </c>
      <c r="F981" t="s">
        <v>62</v>
      </c>
      <c r="G981" t="s">
        <v>4742</v>
      </c>
      <c r="H981" t="s">
        <v>915</v>
      </c>
      <c r="I981" t="s">
        <v>23</v>
      </c>
      <c r="J981" t="s">
        <v>24</v>
      </c>
      <c r="K981" t="s">
        <v>89</v>
      </c>
      <c r="L981" t="s">
        <v>36</v>
      </c>
      <c r="M981" t="s">
        <v>27</v>
      </c>
      <c r="N981" t="s">
        <v>4743</v>
      </c>
      <c r="O981" t="s">
        <v>67</v>
      </c>
      <c r="P981" t="s">
        <v>350</v>
      </c>
      <c r="Q981" t="s">
        <v>2939</v>
      </c>
      <c r="R981">
        <v>1507.23</v>
      </c>
      <c r="S981">
        <v>5</v>
      </c>
      <c r="T981">
        <v>0.1</v>
      </c>
      <c r="U981">
        <v>-25.65</v>
      </c>
    </row>
    <row r="982" spans="1:21" x14ac:dyDescent="0.35">
      <c r="A982" t="s">
        <v>4744</v>
      </c>
      <c r="B982" s="2">
        <v>43130</v>
      </c>
      <c r="C982" s="2" t="str">
        <f t="shared" si="30"/>
        <v>January</v>
      </c>
      <c r="D982" s="2" t="str">
        <f t="shared" si="31"/>
        <v>2018</v>
      </c>
      <c r="E982" s="2">
        <v>43192</v>
      </c>
      <c r="F982" t="s">
        <v>52</v>
      </c>
      <c r="G982" t="s">
        <v>4745</v>
      </c>
      <c r="H982" t="s">
        <v>4746</v>
      </c>
      <c r="I982" t="s">
        <v>55</v>
      </c>
      <c r="J982" t="s">
        <v>24</v>
      </c>
      <c r="K982" t="s">
        <v>212</v>
      </c>
      <c r="L982" t="s">
        <v>36</v>
      </c>
      <c r="M982" t="s">
        <v>57</v>
      </c>
      <c r="N982" t="s">
        <v>4747</v>
      </c>
      <c r="O982" t="s">
        <v>48</v>
      </c>
      <c r="P982" t="s">
        <v>128</v>
      </c>
      <c r="Q982" t="s">
        <v>4748</v>
      </c>
      <c r="R982">
        <v>1225.3599999999999</v>
      </c>
      <c r="S982">
        <v>2</v>
      </c>
      <c r="T982">
        <v>0</v>
      </c>
      <c r="U982">
        <v>92.56</v>
      </c>
    </row>
    <row r="983" spans="1:21" x14ac:dyDescent="0.35">
      <c r="A983" t="s">
        <v>4749</v>
      </c>
      <c r="B983" s="2">
        <v>42372</v>
      </c>
      <c r="C983" s="2" t="str">
        <f t="shared" si="30"/>
        <v>January</v>
      </c>
      <c r="D983" s="2" t="str">
        <f t="shared" si="31"/>
        <v>2016</v>
      </c>
      <c r="E983" s="2">
        <v>42583</v>
      </c>
      <c r="F983" t="s">
        <v>52</v>
      </c>
      <c r="G983" t="s">
        <v>4750</v>
      </c>
      <c r="H983" t="s">
        <v>4076</v>
      </c>
      <c r="I983" t="s">
        <v>55</v>
      </c>
      <c r="J983" t="s">
        <v>24</v>
      </c>
      <c r="K983" t="s">
        <v>81</v>
      </c>
      <c r="L983" t="s">
        <v>65</v>
      </c>
      <c r="M983" t="s">
        <v>74</v>
      </c>
      <c r="N983" t="s">
        <v>4751</v>
      </c>
      <c r="O983" t="s">
        <v>67</v>
      </c>
      <c r="P983" t="s">
        <v>117</v>
      </c>
      <c r="Q983" t="s">
        <v>4752</v>
      </c>
      <c r="R983">
        <v>1058.31</v>
      </c>
      <c r="S983">
        <v>10</v>
      </c>
      <c r="T983">
        <v>0</v>
      </c>
      <c r="U983">
        <v>-71.77</v>
      </c>
    </row>
    <row r="984" spans="1:21" x14ac:dyDescent="0.35">
      <c r="A984" t="s">
        <v>4753</v>
      </c>
      <c r="B984" s="2">
        <v>43354</v>
      </c>
      <c r="C984" s="2" t="str">
        <f t="shared" si="30"/>
        <v>September</v>
      </c>
      <c r="D984" s="2" t="str">
        <f t="shared" si="31"/>
        <v>2018</v>
      </c>
      <c r="E984" s="2" t="s">
        <v>6366</v>
      </c>
      <c r="F984" t="s">
        <v>42</v>
      </c>
      <c r="G984" t="s">
        <v>4754</v>
      </c>
      <c r="H984" t="s">
        <v>4755</v>
      </c>
      <c r="I984" t="s">
        <v>23</v>
      </c>
      <c r="J984" t="s">
        <v>24</v>
      </c>
      <c r="K984" t="s">
        <v>81</v>
      </c>
      <c r="L984" t="s">
        <v>56</v>
      </c>
      <c r="M984" t="s">
        <v>74</v>
      </c>
      <c r="N984" t="s">
        <v>4756</v>
      </c>
      <c r="O984" t="s">
        <v>67</v>
      </c>
      <c r="P984" t="s">
        <v>229</v>
      </c>
      <c r="Q984" t="s">
        <v>4757</v>
      </c>
      <c r="R984">
        <v>741.04</v>
      </c>
      <c r="S984">
        <v>3</v>
      </c>
      <c r="T984">
        <v>0.1</v>
      </c>
      <c r="U984">
        <v>330.3</v>
      </c>
    </row>
    <row r="985" spans="1:21" x14ac:dyDescent="0.35">
      <c r="A985" t="s">
        <v>4758</v>
      </c>
      <c r="B985" s="2">
        <v>43473</v>
      </c>
      <c r="C985" s="2" t="str">
        <f t="shared" si="30"/>
        <v>January</v>
      </c>
      <c r="D985" s="2" t="str">
        <f t="shared" si="31"/>
        <v>2019</v>
      </c>
      <c r="E985" s="2">
        <v>43739</v>
      </c>
      <c r="F985" t="s">
        <v>42</v>
      </c>
      <c r="G985" t="s">
        <v>4759</v>
      </c>
      <c r="H985" t="s">
        <v>4760</v>
      </c>
      <c r="I985" t="s">
        <v>55</v>
      </c>
      <c r="J985" t="s">
        <v>24</v>
      </c>
      <c r="K985" t="s">
        <v>212</v>
      </c>
      <c r="L985" t="s">
        <v>170</v>
      </c>
      <c r="M985" t="s">
        <v>57</v>
      </c>
      <c r="N985" t="s">
        <v>4761</v>
      </c>
      <c r="O985" t="s">
        <v>48</v>
      </c>
      <c r="P985" t="s">
        <v>59</v>
      </c>
      <c r="Q985" t="s">
        <v>4762</v>
      </c>
      <c r="R985">
        <v>1106.42</v>
      </c>
      <c r="S985">
        <v>1</v>
      </c>
      <c r="T985">
        <v>0.1</v>
      </c>
      <c r="U985">
        <v>62.89</v>
      </c>
    </row>
    <row r="986" spans="1:21" x14ac:dyDescent="0.35">
      <c r="A986" t="s">
        <v>4763</v>
      </c>
      <c r="B986" s="2">
        <v>43113</v>
      </c>
      <c r="C986" s="2" t="str">
        <f t="shared" si="30"/>
        <v>January</v>
      </c>
      <c r="D986" s="2" t="str">
        <f t="shared" si="31"/>
        <v>2018</v>
      </c>
      <c r="E986" s="2" t="s">
        <v>6297</v>
      </c>
      <c r="F986" t="s">
        <v>20</v>
      </c>
      <c r="G986" t="s">
        <v>4764</v>
      </c>
      <c r="H986" t="s">
        <v>4724</v>
      </c>
      <c r="I986" t="s">
        <v>23</v>
      </c>
      <c r="J986" t="s">
        <v>24</v>
      </c>
      <c r="K986" t="s">
        <v>212</v>
      </c>
      <c r="L986" t="s">
        <v>46</v>
      </c>
      <c r="M986" t="s">
        <v>74</v>
      </c>
      <c r="N986" t="s">
        <v>4765</v>
      </c>
      <c r="O986" t="s">
        <v>29</v>
      </c>
      <c r="P986" t="s">
        <v>155</v>
      </c>
      <c r="Q986" t="s">
        <v>4766</v>
      </c>
      <c r="R986">
        <v>221.48</v>
      </c>
      <c r="S986">
        <v>1</v>
      </c>
      <c r="T986">
        <v>0</v>
      </c>
      <c r="U986">
        <v>-19.559999999999999</v>
      </c>
    </row>
    <row r="987" spans="1:21" x14ac:dyDescent="0.35">
      <c r="A987" t="s">
        <v>4767</v>
      </c>
      <c r="B987" s="2">
        <v>42602</v>
      </c>
      <c r="C987" s="2" t="str">
        <f t="shared" si="30"/>
        <v>August</v>
      </c>
      <c r="D987" s="2" t="str">
        <f t="shared" si="31"/>
        <v>2016</v>
      </c>
      <c r="E987" s="2" t="s">
        <v>5940</v>
      </c>
      <c r="F987" t="s">
        <v>42</v>
      </c>
      <c r="G987" t="s">
        <v>4768</v>
      </c>
      <c r="H987" t="s">
        <v>4769</v>
      </c>
      <c r="I987" t="s">
        <v>55</v>
      </c>
      <c r="J987" t="s">
        <v>24</v>
      </c>
      <c r="K987" t="s">
        <v>133</v>
      </c>
      <c r="L987" t="s">
        <v>26</v>
      </c>
      <c r="M987" t="s">
        <v>74</v>
      </c>
      <c r="N987" t="s">
        <v>4770</v>
      </c>
      <c r="O987" t="s">
        <v>67</v>
      </c>
      <c r="P987" t="s">
        <v>117</v>
      </c>
      <c r="Q987" t="s">
        <v>4771</v>
      </c>
      <c r="R987">
        <v>627.87</v>
      </c>
      <c r="S987">
        <v>5</v>
      </c>
      <c r="T987">
        <v>0.1</v>
      </c>
      <c r="U987">
        <v>102.62</v>
      </c>
    </row>
    <row r="988" spans="1:21" x14ac:dyDescent="0.35">
      <c r="A988" t="s">
        <v>4772</v>
      </c>
      <c r="B988" s="2">
        <v>42679</v>
      </c>
      <c r="C988" s="2" t="str">
        <f t="shared" si="30"/>
        <v>November</v>
      </c>
      <c r="D988" s="2" t="str">
        <f t="shared" si="31"/>
        <v>2016</v>
      </c>
      <c r="E988" s="2">
        <v>42562</v>
      </c>
      <c r="F988" t="s">
        <v>20</v>
      </c>
      <c r="G988" t="s">
        <v>4773</v>
      </c>
      <c r="H988" t="s">
        <v>4774</v>
      </c>
      <c r="I988" t="s">
        <v>55</v>
      </c>
      <c r="J988" t="s">
        <v>24</v>
      </c>
      <c r="K988" t="s">
        <v>212</v>
      </c>
      <c r="L988" t="s">
        <v>82</v>
      </c>
      <c r="M988" t="s">
        <v>83</v>
      </c>
      <c r="N988" t="s">
        <v>4775</v>
      </c>
      <c r="O988" t="s">
        <v>67</v>
      </c>
      <c r="P988" t="s">
        <v>117</v>
      </c>
      <c r="Q988" t="s">
        <v>4776</v>
      </c>
      <c r="R988">
        <v>786.86</v>
      </c>
      <c r="S988">
        <v>3</v>
      </c>
      <c r="T988">
        <v>0.1</v>
      </c>
      <c r="U988">
        <v>255.38</v>
      </c>
    </row>
    <row r="989" spans="1:21" x14ac:dyDescent="0.35">
      <c r="A989" t="s">
        <v>4777</v>
      </c>
      <c r="B989" s="2">
        <v>42741</v>
      </c>
      <c r="C989" s="2" t="str">
        <f t="shared" si="30"/>
        <v>January</v>
      </c>
      <c r="D989" s="2" t="str">
        <f t="shared" si="31"/>
        <v>2017</v>
      </c>
      <c r="E989" s="2">
        <v>43009</v>
      </c>
      <c r="F989" t="s">
        <v>52</v>
      </c>
      <c r="G989" t="s">
        <v>4778</v>
      </c>
      <c r="H989" t="s">
        <v>4518</v>
      </c>
      <c r="I989" t="s">
        <v>35</v>
      </c>
      <c r="J989" t="s">
        <v>24</v>
      </c>
      <c r="K989" t="s">
        <v>133</v>
      </c>
      <c r="L989" t="s">
        <v>115</v>
      </c>
      <c r="M989" t="s">
        <v>27</v>
      </c>
      <c r="N989" t="s">
        <v>4779</v>
      </c>
      <c r="O989" t="s">
        <v>48</v>
      </c>
      <c r="P989" t="s">
        <v>76</v>
      </c>
      <c r="Q989" t="s">
        <v>995</v>
      </c>
      <c r="R989">
        <v>1698.14</v>
      </c>
      <c r="S989">
        <v>5</v>
      </c>
      <c r="T989">
        <v>0.2</v>
      </c>
      <c r="U989">
        <v>205.84</v>
      </c>
    </row>
    <row r="990" spans="1:21" x14ac:dyDescent="0.35">
      <c r="A990" t="s">
        <v>4780</v>
      </c>
      <c r="B990" s="2">
        <v>43436</v>
      </c>
      <c r="C990" s="2" t="str">
        <f t="shared" si="30"/>
        <v>December</v>
      </c>
      <c r="D990" s="2" t="str">
        <f t="shared" si="31"/>
        <v>2018</v>
      </c>
      <c r="E990" s="2">
        <v>43293</v>
      </c>
      <c r="F990" t="s">
        <v>42</v>
      </c>
      <c r="G990" t="s">
        <v>4781</v>
      </c>
      <c r="H990" t="s">
        <v>4782</v>
      </c>
      <c r="I990" t="s">
        <v>55</v>
      </c>
      <c r="J990" t="s">
        <v>24</v>
      </c>
      <c r="K990" t="s">
        <v>97</v>
      </c>
      <c r="L990" t="s">
        <v>90</v>
      </c>
      <c r="M990" t="s">
        <v>74</v>
      </c>
      <c r="N990" t="s">
        <v>4783</v>
      </c>
      <c r="O990" t="s">
        <v>48</v>
      </c>
      <c r="P990" t="s">
        <v>76</v>
      </c>
      <c r="Q990" t="s">
        <v>4784</v>
      </c>
      <c r="R990">
        <v>663.75</v>
      </c>
      <c r="S990">
        <v>7</v>
      </c>
      <c r="T990">
        <v>0</v>
      </c>
      <c r="U990">
        <v>149.93</v>
      </c>
    </row>
    <row r="991" spans="1:21" x14ac:dyDescent="0.35">
      <c r="A991" t="s">
        <v>4785</v>
      </c>
      <c r="B991" s="2">
        <v>43812</v>
      </c>
      <c r="C991" s="2" t="str">
        <f t="shared" si="30"/>
        <v>December</v>
      </c>
      <c r="D991" s="2" t="str">
        <f t="shared" si="31"/>
        <v>2019</v>
      </c>
      <c r="E991" s="2" t="s">
        <v>6367</v>
      </c>
      <c r="F991" t="s">
        <v>62</v>
      </c>
      <c r="G991" t="s">
        <v>4786</v>
      </c>
      <c r="H991" t="s">
        <v>4787</v>
      </c>
      <c r="I991" t="s">
        <v>23</v>
      </c>
      <c r="J991" t="s">
        <v>24</v>
      </c>
      <c r="K991" t="s">
        <v>133</v>
      </c>
      <c r="L991" t="s">
        <v>170</v>
      </c>
      <c r="M991" t="s">
        <v>57</v>
      </c>
      <c r="N991" t="s">
        <v>4788</v>
      </c>
      <c r="O991" t="s">
        <v>48</v>
      </c>
      <c r="P991" t="s">
        <v>128</v>
      </c>
      <c r="Q991" t="s">
        <v>4789</v>
      </c>
      <c r="R991">
        <v>1581.9</v>
      </c>
      <c r="S991">
        <v>3</v>
      </c>
      <c r="T991">
        <v>0</v>
      </c>
      <c r="U991">
        <v>574.03</v>
      </c>
    </row>
    <row r="992" spans="1:21" x14ac:dyDescent="0.35">
      <c r="A992" t="s">
        <v>4790</v>
      </c>
      <c r="B992" s="2">
        <v>43332</v>
      </c>
      <c r="C992" s="2" t="str">
        <f t="shared" si="30"/>
        <v>August</v>
      </c>
      <c r="D992" s="2" t="str">
        <f t="shared" si="31"/>
        <v>2018</v>
      </c>
      <c r="E992" s="2" t="s">
        <v>6227</v>
      </c>
      <c r="F992" t="s">
        <v>52</v>
      </c>
      <c r="G992" t="s">
        <v>4791</v>
      </c>
      <c r="H992" t="s">
        <v>4792</v>
      </c>
      <c r="I992" t="s">
        <v>35</v>
      </c>
      <c r="J992" t="s">
        <v>24</v>
      </c>
      <c r="K992" t="s">
        <v>212</v>
      </c>
      <c r="L992" t="s">
        <v>170</v>
      </c>
      <c r="M992" t="s">
        <v>27</v>
      </c>
      <c r="N992" t="s">
        <v>4793</v>
      </c>
      <c r="O992" t="s">
        <v>29</v>
      </c>
      <c r="P992" t="s">
        <v>30</v>
      </c>
      <c r="Q992" t="s">
        <v>3382</v>
      </c>
      <c r="R992">
        <v>1643.15</v>
      </c>
      <c r="S992">
        <v>7</v>
      </c>
      <c r="T992">
        <v>0</v>
      </c>
      <c r="U992">
        <v>-142.94</v>
      </c>
    </row>
    <row r="993" spans="1:21" x14ac:dyDescent="0.35">
      <c r="A993" t="s">
        <v>4794</v>
      </c>
      <c r="B993" s="2">
        <v>43661</v>
      </c>
      <c r="C993" s="2" t="str">
        <f t="shared" si="30"/>
        <v>July</v>
      </c>
      <c r="D993" s="2" t="str">
        <f t="shared" si="31"/>
        <v>2019</v>
      </c>
      <c r="E993" s="2" t="s">
        <v>6280</v>
      </c>
      <c r="F993" t="s">
        <v>42</v>
      </c>
      <c r="G993" t="s">
        <v>4795</v>
      </c>
      <c r="H993" t="s">
        <v>4796</v>
      </c>
      <c r="I993" t="s">
        <v>55</v>
      </c>
      <c r="J993" t="s">
        <v>24</v>
      </c>
      <c r="K993" t="s">
        <v>81</v>
      </c>
      <c r="L993" t="s">
        <v>170</v>
      </c>
      <c r="M993" t="s">
        <v>74</v>
      </c>
      <c r="N993" t="s">
        <v>4797</v>
      </c>
      <c r="O993" t="s">
        <v>29</v>
      </c>
      <c r="P993" t="s">
        <v>155</v>
      </c>
      <c r="Q993" t="s">
        <v>4798</v>
      </c>
      <c r="R993">
        <v>556.19000000000005</v>
      </c>
      <c r="S993">
        <v>8</v>
      </c>
      <c r="T993">
        <v>0</v>
      </c>
      <c r="U993">
        <v>-3.96</v>
      </c>
    </row>
    <row r="994" spans="1:21" x14ac:dyDescent="0.35">
      <c r="A994" t="s">
        <v>4799</v>
      </c>
      <c r="B994" s="2">
        <v>42485</v>
      </c>
      <c r="C994" s="2" t="str">
        <f t="shared" si="30"/>
        <v>April</v>
      </c>
      <c r="D994" s="2" t="str">
        <f t="shared" si="31"/>
        <v>2016</v>
      </c>
      <c r="E994" s="2">
        <v>42465</v>
      </c>
      <c r="F994" t="s">
        <v>52</v>
      </c>
      <c r="G994" t="s">
        <v>4800</v>
      </c>
      <c r="H994" t="s">
        <v>4801</v>
      </c>
      <c r="I994" t="s">
        <v>55</v>
      </c>
      <c r="J994" t="s">
        <v>24</v>
      </c>
      <c r="K994" t="s">
        <v>103</v>
      </c>
      <c r="L994" t="s">
        <v>170</v>
      </c>
      <c r="M994" t="s">
        <v>74</v>
      </c>
      <c r="N994" t="s">
        <v>4802</v>
      </c>
      <c r="O994" t="s">
        <v>29</v>
      </c>
      <c r="P994" t="s">
        <v>39</v>
      </c>
      <c r="Q994" t="s">
        <v>4803</v>
      </c>
      <c r="R994">
        <v>452.22</v>
      </c>
      <c r="S994">
        <v>6</v>
      </c>
      <c r="T994">
        <v>0.2</v>
      </c>
      <c r="U994">
        <v>-95.59</v>
      </c>
    </row>
    <row r="995" spans="1:21" x14ac:dyDescent="0.35">
      <c r="A995" t="s">
        <v>4804</v>
      </c>
      <c r="B995" s="2">
        <v>43203</v>
      </c>
      <c r="C995" s="2" t="str">
        <f t="shared" si="30"/>
        <v>April</v>
      </c>
      <c r="D995" s="2" t="str">
        <f t="shared" si="31"/>
        <v>2018</v>
      </c>
      <c r="E995" s="2" t="s">
        <v>6155</v>
      </c>
      <c r="F995" t="s">
        <v>62</v>
      </c>
      <c r="G995" t="s">
        <v>4805</v>
      </c>
      <c r="H995" t="s">
        <v>4806</v>
      </c>
      <c r="I995" t="s">
        <v>55</v>
      </c>
      <c r="J995" t="s">
        <v>24</v>
      </c>
      <c r="K995" t="s">
        <v>73</v>
      </c>
      <c r="L995" t="s">
        <v>170</v>
      </c>
      <c r="M995" t="s">
        <v>74</v>
      </c>
      <c r="N995" t="s">
        <v>4807</v>
      </c>
      <c r="O995" t="s">
        <v>29</v>
      </c>
      <c r="P995" t="s">
        <v>155</v>
      </c>
      <c r="Q995" t="s">
        <v>4808</v>
      </c>
      <c r="R995">
        <v>1123.6500000000001</v>
      </c>
      <c r="S995">
        <v>2</v>
      </c>
      <c r="T995">
        <v>0.3</v>
      </c>
      <c r="U995">
        <v>560.20000000000005</v>
      </c>
    </row>
    <row r="996" spans="1:21" x14ac:dyDescent="0.35">
      <c r="A996" t="s">
        <v>4809</v>
      </c>
      <c r="B996" s="2">
        <v>42504</v>
      </c>
      <c r="C996" s="2" t="str">
        <f t="shared" si="30"/>
        <v>May</v>
      </c>
      <c r="D996" s="2" t="str">
        <f t="shared" si="31"/>
        <v>2016</v>
      </c>
      <c r="E996" s="2" t="s">
        <v>6179</v>
      </c>
      <c r="F996" t="s">
        <v>52</v>
      </c>
      <c r="G996" t="s">
        <v>4810</v>
      </c>
      <c r="H996" t="s">
        <v>4811</v>
      </c>
      <c r="I996" t="s">
        <v>35</v>
      </c>
      <c r="J996" t="s">
        <v>24</v>
      </c>
      <c r="K996" t="s">
        <v>103</v>
      </c>
      <c r="L996" t="s">
        <v>46</v>
      </c>
      <c r="M996" t="s">
        <v>74</v>
      </c>
      <c r="N996" t="s">
        <v>4812</v>
      </c>
      <c r="O996" t="s">
        <v>67</v>
      </c>
      <c r="P996" t="s">
        <v>92</v>
      </c>
      <c r="Q996" t="s">
        <v>4813</v>
      </c>
      <c r="R996">
        <v>1076.3</v>
      </c>
      <c r="S996">
        <v>1</v>
      </c>
      <c r="T996">
        <v>0</v>
      </c>
      <c r="U996">
        <v>66.989999999999995</v>
      </c>
    </row>
    <row r="997" spans="1:21" x14ac:dyDescent="0.35">
      <c r="A997" t="s">
        <v>4814</v>
      </c>
      <c r="B997" s="2">
        <v>43236</v>
      </c>
      <c r="C997" s="2" t="str">
        <f t="shared" si="30"/>
        <v>May</v>
      </c>
      <c r="D997" s="2" t="str">
        <f t="shared" si="31"/>
        <v>2018</v>
      </c>
      <c r="E997" s="2" t="s">
        <v>6120</v>
      </c>
      <c r="F997" t="s">
        <v>42</v>
      </c>
      <c r="G997" t="s">
        <v>4815</v>
      </c>
      <c r="H997" t="s">
        <v>4816</v>
      </c>
      <c r="I997" t="s">
        <v>55</v>
      </c>
      <c r="J997" t="s">
        <v>24</v>
      </c>
      <c r="K997" t="s">
        <v>45</v>
      </c>
      <c r="L997" t="s">
        <v>90</v>
      </c>
      <c r="M997" t="s">
        <v>74</v>
      </c>
      <c r="N997" t="s">
        <v>4817</v>
      </c>
      <c r="O997" t="s">
        <v>67</v>
      </c>
      <c r="P997" t="s">
        <v>197</v>
      </c>
      <c r="Q997" t="s">
        <v>1237</v>
      </c>
      <c r="R997">
        <v>457.22</v>
      </c>
      <c r="S997">
        <v>5</v>
      </c>
      <c r="T997">
        <v>0.1</v>
      </c>
      <c r="U997">
        <v>-110.83</v>
      </c>
    </row>
    <row r="998" spans="1:21" x14ac:dyDescent="0.35">
      <c r="A998" t="s">
        <v>4818</v>
      </c>
      <c r="B998" s="2">
        <v>43217</v>
      </c>
      <c r="C998" s="2" t="str">
        <f t="shared" si="30"/>
        <v>April</v>
      </c>
      <c r="D998" s="2" t="str">
        <f t="shared" si="31"/>
        <v>2018</v>
      </c>
      <c r="E998" s="2" t="s">
        <v>6042</v>
      </c>
      <c r="F998" t="s">
        <v>42</v>
      </c>
      <c r="G998" t="s">
        <v>4819</v>
      </c>
      <c r="H998" t="s">
        <v>4820</v>
      </c>
      <c r="I998" t="s">
        <v>23</v>
      </c>
      <c r="J998" t="s">
        <v>24</v>
      </c>
      <c r="K998" t="s">
        <v>45</v>
      </c>
      <c r="L998" t="s">
        <v>170</v>
      </c>
      <c r="M998" t="s">
        <v>27</v>
      </c>
      <c r="N998" t="s">
        <v>4821</v>
      </c>
      <c r="O998" t="s">
        <v>67</v>
      </c>
      <c r="P998" t="s">
        <v>229</v>
      </c>
      <c r="Q998" t="s">
        <v>4822</v>
      </c>
      <c r="R998">
        <v>1678.74</v>
      </c>
      <c r="S998">
        <v>4</v>
      </c>
      <c r="T998">
        <v>0.1</v>
      </c>
      <c r="U998">
        <v>108.33</v>
      </c>
    </row>
    <row r="999" spans="1:21" x14ac:dyDescent="0.35">
      <c r="A999" t="s">
        <v>4823</v>
      </c>
      <c r="B999" s="2">
        <v>42756</v>
      </c>
      <c r="C999" s="2" t="str">
        <f t="shared" si="30"/>
        <v>January</v>
      </c>
      <c r="D999" s="2" t="str">
        <f t="shared" si="31"/>
        <v>2017</v>
      </c>
      <c r="E999" s="2" t="s">
        <v>6131</v>
      </c>
      <c r="F999" t="s">
        <v>52</v>
      </c>
      <c r="G999" t="s">
        <v>4824</v>
      </c>
      <c r="H999" t="s">
        <v>4825</v>
      </c>
      <c r="I999" t="s">
        <v>55</v>
      </c>
      <c r="J999" t="s">
        <v>24</v>
      </c>
      <c r="K999" t="s">
        <v>133</v>
      </c>
      <c r="L999" t="s">
        <v>56</v>
      </c>
      <c r="M999" t="s">
        <v>74</v>
      </c>
      <c r="N999" t="s">
        <v>4826</v>
      </c>
      <c r="O999" t="s">
        <v>29</v>
      </c>
      <c r="P999" t="s">
        <v>110</v>
      </c>
      <c r="Q999" t="s">
        <v>111</v>
      </c>
      <c r="R999">
        <v>479.91</v>
      </c>
      <c r="S999">
        <v>6</v>
      </c>
      <c r="T999">
        <v>0</v>
      </c>
      <c r="U999">
        <v>214.31</v>
      </c>
    </row>
    <row r="1000" spans="1:21" x14ac:dyDescent="0.35">
      <c r="A1000" t="s">
        <v>4827</v>
      </c>
      <c r="B1000" s="2">
        <v>42432</v>
      </c>
      <c r="C1000" s="2" t="str">
        <f t="shared" si="30"/>
        <v>March</v>
      </c>
      <c r="D1000" s="2" t="str">
        <f t="shared" si="31"/>
        <v>2016</v>
      </c>
      <c r="E1000" s="2">
        <v>42646</v>
      </c>
      <c r="F1000" t="s">
        <v>52</v>
      </c>
      <c r="G1000" t="s">
        <v>4828</v>
      </c>
      <c r="H1000" t="s">
        <v>4829</v>
      </c>
      <c r="I1000" t="s">
        <v>55</v>
      </c>
      <c r="J1000" t="s">
        <v>24</v>
      </c>
      <c r="K1000" t="s">
        <v>212</v>
      </c>
      <c r="L1000" t="s">
        <v>170</v>
      </c>
      <c r="M1000" t="s">
        <v>57</v>
      </c>
      <c r="N1000" t="s">
        <v>4830</v>
      </c>
      <c r="O1000" t="s">
        <v>67</v>
      </c>
      <c r="P1000" t="s">
        <v>350</v>
      </c>
      <c r="Q1000" t="s">
        <v>4831</v>
      </c>
      <c r="R1000">
        <v>845.23</v>
      </c>
      <c r="S1000">
        <v>4</v>
      </c>
      <c r="T1000">
        <v>0</v>
      </c>
      <c r="U1000">
        <v>-240.89</v>
      </c>
    </row>
    <row r="1001" spans="1:21" x14ac:dyDescent="0.35">
      <c r="A1001" t="s">
        <v>4832</v>
      </c>
      <c r="B1001" s="2">
        <v>42883</v>
      </c>
      <c r="C1001" s="2" t="str">
        <f t="shared" si="30"/>
        <v>May</v>
      </c>
      <c r="D1001" s="2" t="str">
        <f t="shared" si="31"/>
        <v>2017</v>
      </c>
      <c r="E1001" s="2" t="s">
        <v>5918</v>
      </c>
      <c r="F1001" t="s">
        <v>52</v>
      </c>
      <c r="G1001" t="s">
        <v>4833</v>
      </c>
      <c r="H1001" t="s">
        <v>3164</v>
      </c>
      <c r="I1001" t="s">
        <v>35</v>
      </c>
      <c r="J1001" t="s">
        <v>24</v>
      </c>
      <c r="K1001" t="s">
        <v>36</v>
      </c>
      <c r="L1001" t="s">
        <v>170</v>
      </c>
      <c r="M1001" t="s">
        <v>83</v>
      </c>
      <c r="N1001" t="s">
        <v>4834</v>
      </c>
      <c r="O1001" t="s">
        <v>67</v>
      </c>
      <c r="P1001" t="s">
        <v>350</v>
      </c>
      <c r="Q1001" t="s">
        <v>4835</v>
      </c>
      <c r="R1001">
        <v>1916.97</v>
      </c>
      <c r="S1001">
        <v>10</v>
      </c>
      <c r="T1001">
        <v>0.1</v>
      </c>
      <c r="U1001">
        <v>533.29</v>
      </c>
    </row>
    <row r="1002" spans="1:21" x14ac:dyDescent="0.35">
      <c r="A1002" t="s">
        <v>4836</v>
      </c>
      <c r="B1002" s="2">
        <v>43545</v>
      </c>
      <c r="C1002" s="2" t="str">
        <f t="shared" si="30"/>
        <v>March</v>
      </c>
      <c r="D1002" s="2" t="str">
        <f t="shared" si="31"/>
        <v>2019</v>
      </c>
      <c r="E1002" s="2" t="s">
        <v>6368</v>
      </c>
      <c r="F1002" t="s">
        <v>52</v>
      </c>
      <c r="G1002" t="s">
        <v>4837</v>
      </c>
      <c r="H1002" t="s">
        <v>143</v>
      </c>
      <c r="I1002" t="s">
        <v>23</v>
      </c>
      <c r="J1002" t="s">
        <v>24</v>
      </c>
      <c r="K1002" t="s">
        <v>133</v>
      </c>
      <c r="L1002" t="s">
        <v>26</v>
      </c>
      <c r="M1002" t="s">
        <v>74</v>
      </c>
      <c r="N1002" t="s">
        <v>4838</v>
      </c>
      <c r="O1002" t="s">
        <v>67</v>
      </c>
      <c r="P1002" t="s">
        <v>68</v>
      </c>
      <c r="Q1002" t="s">
        <v>4839</v>
      </c>
      <c r="R1002">
        <v>1978.84</v>
      </c>
      <c r="S1002">
        <v>1</v>
      </c>
      <c r="T1002">
        <v>0</v>
      </c>
      <c r="U1002">
        <v>761.41</v>
      </c>
    </row>
    <row r="1003" spans="1:21" x14ac:dyDescent="0.35">
      <c r="A1003" t="s">
        <v>4840</v>
      </c>
      <c r="B1003" s="2">
        <v>43506</v>
      </c>
      <c r="C1003" s="2" t="str">
        <f t="shared" si="30"/>
        <v>February</v>
      </c>
      <c r="D1003" s="2" t="str">
        <f t="shared" si="31"/>
        <v>2019</v>
      </c>
      <c r="E1003" s="2">
        <v>43801</v>
      </c>
      <c r="F1003" t="s">
        <v>52</v>
      </c>
      <c r="G1003" t="s">
        <v>4841</v>
      </c>
      <c r="H1003" t="s">
        <v>4842</v>
      </c>
      <c r="I1003" t="s">
        <v>23</v>
      </c>
      <c r="J1003" t="s">
        <v>24</v>
      </c>
      <c r="K1003" t="s">
        <v>36</v>
      </c>
      <c r="L1003" t="s">
        <v>90</v>
      </c>
      <c r="M1003" t="s">
        <v>74</v>
      </c>
      <c r="N1003" t="s">
        <v>4843</v>
      </c>
      <c r="O1003" t="s">
        <v>48</v>
      </c>
      <c r="P1003" t="s">
        <v>76</v>
      </c>
      <c r="Q1003" t="s">
        <v>2191</v>
      </c>
      <c r="R1003">
        <v>820.11</v>
      </c>
      <c r="S1003">
        <v>8</v>
      </c>
      <c r="T1003">
        <v>0.2</v>
      </c>
      <c r="U1003">
        <v>-82.34</v>
      </c>
    </row>
    <row r="1004" spans="1:21" x14ac:dyDescent="0.35">
      <c r="A1004" t="s">
        <v>4844</v>
      </c>
      <c r="B1004" s="2">
        <v>42802</v>
      </c>
      <c r="C1004" s="2" t="str">
        <f t="shared" si="30"/>
        <v>March</v>
      </c>
      <c r="D1004" s="2" t="str">
        <f t="shared" si="31"/>
        <v>2017</v>
      </c>
      <c r="E1004" s="2" t="s">
        <v>6003</v>
      </c>
      <c r="F1004" t="s">
        <v>52</v>
      </c>
      <c r="G1004" t="s">
        <v>4845</v>
      </c>
      <c r="H1004" t="s">
        <v>4846</v>
      </c>
      <c r="I1004" t="s">
        <v>35</v>
      </c>
      <c r="J1004" t="s">
        <v>24</v>
      </c>
      <c r="K1004" t="s">
        <v>89</v>
      </c>
      <c r="L1004" t="s">
        <v>65</v>
      </c>
      <c r="M1004" t="s">
        <v>74</v>
      </c>
      <c r="N1004" t="s">
        <v>4847</v>
      </c>
      <c r="O1004" t="s">
        <v>48</v>
      </c>
      <c r="P1004" t="s">
        <v>59</v>
      </c>
      <c r="Q1004" t="s">
        <v>4848</v>
      </c>
      <c r="R1004">
        <v>277.88</v>
      </c>
      <c r="S1004">
        <v>10</v>
      </c>
      <c r="T1004">
        <v>0.4</v>
      </c>
      <c r="U1004">
        <v>119.32</v>
      </c>
    </row>
    <row r="1005" spans="1:21" x14ac:dyDescent="0.35">
      <c r="A1005" t="s">
        <v>4849</v>
      </c>
      <c r="B1005" s="2">
        <v>43316</v>
      </c>
      <c r="C1005" s="2" t="str">
        <f t="shared" si="30"/>
        <v>August</v>
      </c>
      <c r="D1005" s="2" t="str">
        <f t="shared" si="31"/>
        <v>2018</v>
      </c>
      <c r="E1005" s="2">
        <v>43228</v>
      </c>
      <c r="F1005" t="s">
        <v>52</v>
      </c>
      <c r="G1005" t="s">
        <v>4850</v>
      </c>
      <c r="H1005" t="s">
        <v>4851</v>
      </c>
      <c r="I1005" t="s">
        <v>23</v>
      </c>
      <c r="J1005" t="s">
        <v>24</v>
      </c>
      <c r="K1005" t="s">
        <v>97</v>
      </c>
      <c r="L1005" t="s">
        <v>46</v>
      </c>
      <c r="M1005" t="s">
        <v>83</v>
      </c>
      <c r="N1005" t="s">
        <v>4852</v>
      </c>
      <c r="O1005" t="s">
        <v>67</v>
      </c>
      <c r="P1005" t="s">
        <v>350</v>
      </c>
      <c r="Q1005" t="s">
        <v>1443</v>
      </c>
      <c r="R1005">
        <v>1738.05</v>
      </c>
      <c r="S1005">
        <v>5</v>
      </c>
      <c r="T1005">
        <v>0</v>
      </c>
      <c r="U1005">
        <v>-286.97000000000003</v>
      </c>
    </row>
    <row r="1006" spans="1:21" x14ac:dyDescent="0.35">
      <c r="A1006" t="s">
        <v>4853</v>
      </c>
      <c r="B1006" s="2">
        <v>43309</v>
      </c>
      <c r="C1006" s="2" t="str">
        <f t="shared" si="30"/>
        <v>July</v>
      </c>
      <c r="D1006" s="2" t="str">
        <f t="shared" si="31"/>
        <v>2018</v>
      </c>
      <c r="E1006" s="2">
        <v>43108</v>
      </c>
      <c r="F1006" t="s">
        <v>20</v>
      </c>
      <c r="G1006" t="s">
        <v>4854</v>
      </c>
      <c r="H1006" t="s">
        <v>4855</v>
      </c>
      <c r="I1006" t="s">
        <v>23</v>
      </c>
      <c r="J1006" t="s">
        <v>24</v>
      </c>
      <c r="K1006" t="s">
        <v>36</v>
      </c>
      <c r="L1006" t="s">
        <v>37</v>
      </c>
      <c r="M1006" t="s">
        <v>57</v>
      </c>
      <c r="N1006" t="s">
        <v>4856</v>
      </c>
      <c r="O1006" t="s">
        <v>67</v>
      </c>
      <c r="P1006" t="s">
        <v>350</v>
      </c>
      <c r="Q1006" t="s">
        <v>4857</v>
      </c>
      <c r="R1006">
        <v>1555.43</v>
      </c>
      <c r="S1006">
        <v>4</v>
      </c>
      <c r="T1006">
        <v>0.3</v>
      </c>
      <c r="U1006">
        <v>339.26</v>
      </c>
    </row>
    <row r="1007" spans="1:21" x14ac:dyDescent="0.35">
      <c r="A1007" t="s">
        <v>4858</v>
      </c>
      <c r="B1007" s="2">
        <v>43747</v>
      </c>
      <c r="C1007" s="2" t="str">
        <f t="shared" si="30"/>
        <v>October</v>
      </c>
      <c r="D1007" s="2" t="str">
        <f t="shared" si="31"/>
        <v>2019</v>
      </c>
      <c r="E1007" s="2" t="s">
        <v>6026</v>
      </c>
      <c r="F1007" t="s">
        <v>62</v>
      </c>
      <c r="G1007" t="s">
        <v>4859</v>
      </c>
      <c r="H1007" t="s">
        <v>4860</v>
      </c>
      <c r="I1007" t="s">
        <v>35</v>
      </c>
      <c r="J1007" t="s">
        <v>24</v>
      </c>
      <c r="K1007" t="s">
        <v>89</v>
      </c>
      <c r="L1007" t="s">
        <v>37</v>
      </c>
      <c r="M1007" t="s">
        <v>27</v>
      </c>
      <c r="N1007" t="s">
        <v>4861</v>
      </c>
      <c r="O1007" t="s">
        <v>67</v>
      </c>
      <c r="P1007" t="s">
        <v>229</v>
      </c>
      <c r="Q1007" t="s">
        <v>3903</v>
      </c>
      <c r="R1007">
        <v>1494.62</v>
      </c>
      <c r="S1007">
        <v>1</v>
      </c>
      <c r="T1007">
        <v>0</v>
      </c>
      <c r="U1007">
        <v>389.51</v>
      </c>
    </row>
    <row r="1008" spans="1:21" x14ac:dyDescent="0.35">
      <c r="A1008" t="s">
        <v>4862</v>
      </c>
      <c r="B1008" s="2">
        <v>43295</v>
      </c>
      <c r="C1008" s="2" t="str">
        <f t="shared" si="30"/>
        <v>July</v>
      </c>
      <c r="D1008" s="2" t="str">
        <f t="shared" si="31"/>
        <v>2018</v>
      </c>
      <c r="E1008" s="2" t="s">
        <v>5900</v>
      </c>
      <c r="F1008" t="s">
        <v>62</v>
      </c>
      <c r="G1008" t="s">
        <v>4863</v>
      </c>
      <c r="H1008" t="s">
        <v>4864</v>
      </c>
      <c r="I1008" t="s">
        <v>55</v>
      </c>
      <c r="J1008" t="s">
        <v>24</v>
      </c>
      <c r="K1008" t="s">
        <v>25</v>
      </c>
      <c r="L1008" t="s">
        <v>56</v>
      </c>
      <c r="M1008" t="s">
        <v>27</v>
      </c>
      <c r="N1008" t="s">
        <v>4865</v>
      </c>
      <c r="O1008" t="s">
        <v>29</v>
      </c>
      <c r="P1008" t="s">
        <v>155</v>
      </c>
      <c r="Q1008" t="s">
        <v>4712</v>
      </c>
      <c r="R1008">
        <v>991.73</v>
      </c>
      <c r="S1008">
        <v>4</v>
      </c>
      <c r="T1008">
        <v>0</v>
      </c>
      <c r="U1008">
        <v>-105.7</v>
      </c>
    </row>
    <row r="1009" spans="1:21" x14ac:dyDescent="0.35">
      <c r="A1009" t="s">
        <v>4866</v>
      </c>
      <c r="B1009" s="2">
        <v>42697</v>
      </c>
      <c r="C1009" s="2" t="str">
        <f t="shared" si="30"/>
        <v>November</v>
      </c>
      <c r="D1009" s="2" t="str">
        <f t="shared" si="31"/>
        <v>2016</v>
      </c>
      <c r="E1009" s="2" t="s">
        <v>6369</v>
      </c>
      <c r="F1009" t="s">
        <v>52</v>
      </c>
      <c r="G1009" t="s">
        <v>4867</v>
      </c>
      <c r="H1009" t="s">
        <v>4868</v>
      </c>
      <c r="I1009" t="s">
        <v>23</v>
      </c>
      <c r="J1009" t="s">
        <v>24</v>
      </c>
      <c r="K1009" t="s">
        <v>97</v>
      </c>
      <c r="L1009" t="s">
        <v>46</v>
      </c>
      <c r="M1009" t="s">
        <v>74</v>
      </c>
      <c r="N1009" t="s">
        <v>4869</v>
      </c>
      <c r="O1009" t="s">
        <v>48</v>
      </c>
      <c r="P1009" t="s">
        <v>76</v>
      </c>
      <c r="Q1009" t="s">
        <v>4870</v>
      </c>
      <c r="R1009">
        <v>1244.08</v>
      </c>
      <c r="S1009">
        <v>5</v>
      </c>
      <c r="T1009">
        <v>0.1</v>
      </c>
      <c r="U1009">
        <v>326.72000000000003</v>
      </c>
    </row>
    <row r="1010" spans="1:21" x14ac:dyDescent="0.35">
      <c r="A1010" t="s">
        <v>4871</v>
      </c>
      <c r="B1010" s="2">
        <v>43279</v>
      </c>
      <c r="C1010" s="2" t="str">
        <f t="shared" si="30"/>
        <v>June</v>
      </c>
      <c r="D1010" s="2" t="str">
        <f t="shared" si="31"/>
        <v>2018</v>
      </c>
      <c r="E1010" s="2">
        <v>43319</v>
      </c>
      <c r="F1010" t="s">
        <v>52</v>
      </c>
      <c r="G1010" t="s">
        <v>4872</v>
      </c>
      <c r="H1010" t="s">
        <v>4873</v>
      </c>
      <c r="I1010" t="s">
        <v>35</v>
      </c>
      <c r="J1010" t="s">
        <v>24</v>
      </c>
      <c r="K1010" t="s">
        <v>36</v>
      </c>
      <c r="L1010" t="s">
        <v>36</v>
      </c>
      <c r="M1010" t="s">
        <v>27</v>
      </c>
      <c r="N1010" t="s">
        <v>4874</v>
      </c>
      <c r="O1010" t="s">
        <v>67</v>
      </c>
      <c r="P1010" t="s">
        <v>350</v>
      </c>
      <c r="Q1010" t="s">
        <v>4875</v>
      </c>
      <c r="R1010">
        <v>462.51</v>
      </c>
      <c r="S1010">
        <v>7</v>
      </c>
      <c r="T1010">
        <v>0.2</v>
      </c>
      <c r="U1010">
        <v>23.08</v>
      </c>
    </row>
    <row r="1011" spans="1:21" x14ac:dyDescent="0.35">
      <c r="A1011" t="s">
        <v>4876</v>
      </c>
      <c r="B1011" s="2">
        <v>42850</v>
      </c>
      <c r="C1011" s="2" t="str">
        <f t="shared" si="30"/>
        <v>April</v>
      </c>
      <c r="D1011" s="2" t="str">
        <f t="shared" si="31"/>
        <v>2017</v>
      </c>
      <c r="E1011" s="2">
        <v>42740</v>
      </c>
      <c r="F1011" t="s">
        <v>42</v>
      </c>
      <c r="G1011" t="s">
        <v>4877</v>
      </c>
      <c r="H1011" t="s">
        <v>4878</v>
      </c>
      <c r="I1011" t="s">
        <v>55</v>
      </c>
      <c r="J1011" t="s">
        <v>24</v>
      </c>
      <c r="K1011" t="s">
        <v>89</v>
      </c>
      <c r="L1011" t="s">
        <v>46</v>
      </c>
      <c r="M1011" t="s">
        <v>74</v>
      </c>
      <c r="N1011" t="s">
        <v>4879</v>
      </c>
      <c r="O1011" t="s">
        <v>48</v>
      </c>
      <c r="P1011" t="s">
        <v>76</v>
      </c>
      <c r="Q1011" t="s">
        <v>4880</v>
      </c>
      <c r="R1011">
        <v>818.99</v>
      </c>
      <c r="S1011">
        <v>5</v>
      </c>
      <c r="T1011">
        <v>0</v>
      </c>
      <c r="U1011">
        <v>224.32</v>
      </c>
    </row>
    <row r="1012" spans="1:21" x14ac:dyDescent="0.35">
      <c r="A1012" t="s">
        <v>4881</v>
      </c>
      <c r="B1012" s="2">
        <v>43768</v>
      </c>
      <c r="C1012" s="2" t="str">
        <f t="shared" si="30"/>
        <v>October</v>
      </c>
      <c r="D1012" s="2" t="str">
        <f t="shared" si="31"/>
        <v>2019</v>
      </c>
      <c r="E1012" s="2">
        <v>43535</v>
      </c>
      <c r="F1012" t="s">
        <v>42</v>
      </c>
      <c r="G1012" t="s">
        <v>4882</v>
      </c>
      <c r="H1012" t="s">
        <v>4883</v>
      </c>
      <c r="I1012" t="s">
        <v>23</v>
      </c>
      <c r="J1012" t="s">
        <v>24</v>
      </c>
      <c r="K1012" t="s">
        <v>97</v>
      </c>
      <c r="L1012" t="s">
        <v>56</v>
      </c>
      <c r="M1012" t="s">
        <v>83</v>
      </c>
      <c r="N1012" t="s">
        <v>4884</v>
      </c>
      <c r="O1012" t="s">
        <v>48</v>
      </c>
      <c r="P1012" t="s">
        <v>128</v>
      </c>
      <c r="Q1012" t="s">
        <v>4885</v>
      </c>
      <c r="R1012">
        <v>697.02</v>
      </c>
      <c r="S1012">
        <v>9</v>
      </c>
      <c r="T1012">
        <v>0</v>
      </c>
      <c r="U1012">
        <v>-90.96</v>
      </c>
    </row>
    <row r="1013" spans="1:21" x14ac:dyDescent="0.35">
      <c r="A1013" t="s">
        <v>4886</v>
      </c>
      <c r="B1013" s="2">
        <v>42505</v>
      </c>
      <c r="C1013" s="2" t="str">
        <f t="shared" si="30"/>
        <v>May</v>
      </c>
      <c r="D1013" s="2" t="str">
        <f t="shared" si="31"/>
        <v>2016</v>
      </c>
      <c r="E1013" s="2" t="s">
        <v>6198</v>
      </c>
      <c r="F1013" t="s">
        <v>20</v>
      </c>
      <c r="G1013" t="s">
        <v>4887</v>
      </c>
      <c r="H1013" t="s">
        <v>4888</v>
      </c>
      <c r="I1013" t="s">
        <v>35</v>
      </c>
      <c r="J1013" t="s">
        <v>24</v>
      </c>
      <c r="K1013" t="s">
        <v>45</v>
      </c>
      <c r="L1013" t="s">
        <v>90</v>
      </c>
      <c r="M1013" t="s">
        <v>27</v>
      </c>
      <c r="N1013" t="s">
        <v>4889</v>
      </c>
      <c r="O1013" t="s">
        <v>48</v>
      </c>
      <c r="P1013" t="s">
        <v>76</v>
      </c>
      <c r="Q1013" t="s">
        <v>4890</v>
      </c>
      <c r="R1013">
        <v>964</v>
      </c>
      <c r="S1013">
        <v>3</v>
      </c>
      <c r="T1013">
        <v>0.3</v>
      </c>
      <c r="U1013">
        <v>-53.61</v>
      </c>
    </row>
    <row r="1014" spans="1:21" x14ac:dyDescent="0.35">
      <c r="A1014" t="s">
        <v>4891</v>
      </c>
      <c r="B1014" s="2">
        <v>43220</v>
      </c>
      <c r="C1014" s="2" t="str">
        <f t="shared" si="30"/>
        <v>April</v>
      </c>
      <c r="D1014" s="2" t="str">
        <f t="shared" si="31"/>
        <v>2018</v>
      </c>
      <c r="E1014" s="2">
        <v>43225</v>
      </c>
      <c r="F1014" t="s">
        <v>20</v>
      </c>
      <c r="G1014" t="s">
        <v>4892</v>
      </c>
      <c r="H1014" t="s">
        <v>4893</v>
      </c>
      <c r="I1014" t="s">
        <v>35</v>
      </c>
      <c r="J1014" t="s">
        <v>24</v>
      </c>
      <c r="K1014" t="s">
        <v>89</v>
      </c>
      <c r="L1014" t="s">
        <v>115</v>
      </c>
      <c r="M1014" t="s">
        <v>27</v>
      </c>
      <c r="N1014" t="s">
        <v>4894</v>
      </c>
      <c r="O1014" t="s">
        <v>29</v>
      </c>
      <c r="P1014" t="s">
        <v>39</v>
      </c>
      <c r="Q1014" t="s">
        <v>4895</v>
      </c>
      <c r="R1014">
        <v>1751.14</v>
      </c>
      <c r="S1014">
        <v>2</v>
      </c>
      <c r="T1014">
        <v>0.4</v>
      </c>
      <c r="U1014">
        <v>-430.5</v>
      </c>
    </row>
    <row r="1015" spans="1:21" x14ac:dyDescent="0.35">
      <c r="A1015" t="s">
        <v>4896</v>
      </c>
      <c r="B1015" s="2">
        <v>42763</v>
      </c>
      <c r="C1015" s="2" t="str">
        <f t="shared" si="30"/>
        <v>January</v>
      </c>
      <c r="D1015" s="2" t="str">
        <f t="shared" si="31"/>
        <v>2017</v>
      </c>
      <c r="E1015" s="2">
        <v>42768</v>
      </c>
      <c r="F1015" t="s">
        <v>20</v>
      </c>
      <c r="G1015" t="s">
        <v>4897</v>
      </c>
      <c r="H1015" t="s">
        <v>4898</v>
      </c>
      <c r="I1015" t="s">
        <v>23</v>
      </c>
      <c r="J1015" t="s">
        <v>24</v>
      </c>
      <c r="K1015" t="s">
        <v>36</v>
      </c>
      <c r="L1015" t="s">
        <v>170</v>
      </c>
      <c r="M1015" t="s">
        <v>57</v>
      </c>
      <c r="N1015" t="s">
        <v>4899</v>
      </c>
      <c r="O1015" t="s">
        <v>29</v>
      </c>
      <c r="P1015" t="s">
        <v>110</v>
      </c>
      <c r="Q1015" t="s">
        <v>4900</v>
      </c>
      <c r="R1015">
        <v>1838.28</v>
      </c>
      <c r="S1015">
        <v>9</v>
      </c>
      <c r="T1015">
        <v>0</v>
      </c>
      <c r="U1015">
        <v>652.33000000000004</v>
      </c>
    </row>
    <row r="1016" spans="1:21" x14ac:dyDescent="0.35">
      <c r="A1016" t="s">
        <v>4901</v>
      </c>
      <c r="B1016" s="2">
        <v>43330</v>
      </c>
      <c r="C1016" s="2" t="str">
        <f t="shared" si="30"/>
        <v>August</v>
      </c>
      <c r="D1016" s="2" t="str">
        <f t="shared" si="31"/>
        <v>2018</v>
      </c>
      <c r="E1016" s="2" t="s">
        <v>5983</v>
      </c>
      <c r="F1016" t="s">
        <v>62</v>
      </c>
      <c r="G1016" t="s">
        <v>4902</v>
      </c>
      <c r="H1016" t="s">
        <v>4903</v>
      </c>
      <c r="I1016" t="s">
        <v>55</v>
      </c>
      <c r="J1016" t="s">
        <v>24</v>
      </c>
      <c r="K1016" t="s">
        <v>97</v>
      </c>
      <c r="L1016" t="s">
        <v>65</v>
      </c>
      <c r="M1016" t="s">
        <v>57</v>
      </c>
      <c r="N1016" t="s">
        <v>4904</v>
      </c>
      <c r="O1016" t="s">
        <v>67</v>
      </c>
      <c r="P1016" t="s">
        <v>92</v>
      </c>
      <c r="Q1016" t="s">
        <v>4905</v>
      </c>
      <c r="R1016">
        <v>1963.55</v>
      </c>
      <c r="S1016">
        <v>3</v>
      </c>
      <c r="T1016">
        <v>0.2</v>
      </c>
      <c r="U1016">
        <v>-393.05</v>
      </c>
    </row>
    <row r="1017" spans="1:21" x14ac:dyDescent="0.35">
      <c r="A1017" t="s">
        <v>4906</v>
      </c>
      <c r="B1017" s="2">
        <v>42836</v>
      </c>
      <c r="C1017" s="2" t="str">
        <f t="shared" si="30"/>
        <v>April</v>
      </c>
      <c r="D1017" s="2" t="str">
        <f t="shared" si="31"/>
        <v>2017</v>
      </c>
      <c r="E1017" s="2" t="s">
        <v>6163</v>
      </c>
      <c r="F1017" t="s">
        <v>42</v>
      </c>
      <c r="G1017" t="s">
        <v>4907</v>
      </c>
      <c r="H1017" t="s">
        <v>4908</v>
      </c>
      <c r="I1017" t="s">
        <v>23</v>
      </c>
      <c r="J1017" t="s">
        <v>24</v>
      </c>
      <c r="K1017" t="s">
        <v>25</v>
      </c>
      <c r="L1017" t="s">
        <v>46</v>
      </c>
      <c r="M1017" t="s">
        <v>57</v>
      </c>
      <c r="N1017" t="s">
        <v>4909</v>
      </c>
      <c r="O1017" t="s">
        <v>67</v>
      </c>
      <c r="P1017" t="s">
        <v>197</v>
      </c>
      <c r="Q1017" t="s">
        <v>2251</v>
      </c>
      <c r="R1017">
        <v>778.86</v>
      </c>
      <c r="S1017">
        <v>10</v>
      </c>
      <c r="T1017">
        <v>0</v>
      </c>
      <c r="U1017">
        <v>-73.09</v>
      </c>
    </row>
    <row r="1018" spans="1:21" x14ac:dyDescent="0.35">
      <c r="A1018" t="s">
        <v>4910</v>
      </c>
      <c r="B1018" s="2">
        <v>43133</v>
      </c>
      <c r="C1018" s="2" t="str">
        <f t="shared" si="30"/>
        <v>February</v>
      </c>
      <c r="D1018" s="2" t="str">
        <f t="shared" si="31"/>
        <v>2018</v>
      </c>
      <c r="E1018" s="2">
        <v>43192</v>
      </c>
      <c r="F1018" t="s">
        <v>42</v>
      </c>
      <c r="G1018" t="s">
        <v>4911</v>
      </c>
      <c r="H1018" t="s">
        <v>4912</v>
      </c>
      <c r="I1018" t="s">
        <v>35</v>
      </c>
      <c r="J1018" t="s">
        <v>24</v>
      </c>
      <c r="K1018" t="s">
        <v>103</v>
      </c>
      <c r="L1018" t="s">
        <v>82</v>
      </c>
      <c r="M1018" t="s">
        <v>57</v>
      </c>
      <c r="N1018" t="s">
        <v>4913</v>
      </c>
      <c r="O1018" t="s">
        <v>29</v>
      </c>
      <c r="P1018" t="s">
        <v>39</v>
      </c>
      <c r="Q1018" t="s">
        <v>4914</v>
      </c>
      <c r="R1018">
        <v>1432.1</v>
      </c>
      <c r="S1018">
        <v>10</v>
      </c>
      <c r="T1018">
        <v>0</v>
      </c>
      <c r="U1018">
        <v>650.66</v>
      </c>
    </row>
    <row r="1019" spans="1:21" x14ac:dyDescent="0.35">
      <c r="A1019" t="s">
        <v>4915</v>
      </c>
      <c r="B1019" s="2">
        <v>43246</v>
      </c>
      <c r="C1019" s="2" t="str">
        <f t="shared" si="30"/>
        <v>May</v>
      </c>
      <c r="D1019" s="2" t="str">
        <f t="shared" si="31"/>
        <v>2018</v>
      </c>
      <c r="E1019" s="2" t="s">
        <v>5999</v>
      </c>
      <c r="F1019" t="s">
        <v>42</v>
      </c>
      <c r="G1019" t="s">
        <v>4916</v>
      </c>
      <c r="H1019" t="s">
        <v>979</v>
      </c>
      <c r="I1019" t="s">
        <v>35</v>
      </c>
      <c r="J1019" t="s">
        <v>24</v>
      </c>
      <c r="K1019" t="s">
        <v>103</v>
      </c>
      <c r="L1019" t="s">
        <v>170</v>
      </c>
      <c r="M1019" t="s">
        <v>27</v>
      </c>
      <c r="N1019" t="s">
        <v>4917</v>
      </c>
      <c r="O1019" t="s">
        <v>48</v>
      </c>
      <c r="P1019" t="s">
        <v>49</v>
      </c>
      <c r="Q1019" t="s">
        <v>4918</v>
      </c>
      <c r="R1019">
        <v>1007.74</v>
      </c>
      <c r="S1019">
        <v>5</v>
      </c>
      <c r="T1019">
        <v>0.4</v>
      </c>
      <c r="U1019">
        <v>235.43</v>
      </c>
    </row>
    <row r="1020" spans="1:21" x14ac:dyDescent="0.35">
      <c r="A1020" t="s">
        <v>4919</v>
      </c>
      <c r="B1020" s="2">
        <v>42946</v>
      </c>
      <c r="C1020" s="2" t="str">
        <f t="shared" si="30"/>
        <v>July</v>
      </c>
      <c r="D1020" s="2" t="str">
        <f t="shared" si="31"/>
        <v>2017</v>
      </c>
      <c r="E1020" s="2">
        <v>42955</v>
      </c>
      <c r="F1020" t="s">
        <v>20</v>
      </c>
      <c r="G1020" t="s">
        <v>4920</v>
      </c>
      <c r="H1020" t="s">
        <v>4921</v>
      </c>
      <c r="I1020" t="s">
        <v>55</v>
      </c>
      <c r="J1020" t="s">
        <v>24</v>
      </c>
      <c r="K1020" t="s">
        <v>133</v>
      </c>
      <c r="L1020" t="s">
        <v>37</v>
      </c>
      <c r="M1020" t="s">
        <v>27</v>
      </c>
      <c r="N1020" t="s">
        <v>4922</v>
      </c>
      <c r="O1020" t="s">
        <v>67</v>
      </c>
      <c r="P1020" t="s">
        <v>92</v>
      </c>
      <c r="Q1020" t="s">
        <v>4923</v>
      </c>
      <c r="R1020">
        <v>285.2</v>
      </c>
      <c r="S1020">
        <v>1</v>
      </c>
      <c r="T1020">
        <v>0</v>
      </c>
      <c r="U1020">
        <v>-41.32</v>
      </c>
    </row>
    <row r="1021" spans="1:21" x14ac:dyDescent="0.35">
      <c r="A1021" t="s">
        <v>4924</v>
      </c>
      <c r="B1021" s="2">
        <v>43529</v>
      </c>
      <c r="C1021" s="2" t="str">
        <f t="shared" si="30"/>
        <v>March</v>
      </c>
      <c r="D1021" s="2" t="str">
        <f t="shared" si="31"/>
        <v>2019</v>
      </c>
      <c r="E1021" s="2" t="s">
        <v>6217</v>
      </c>
      <c r="F1021" t="s">
        <v>62</v>
      </c>
      <c r="G1021" t="s">
        <v>4925</v>
      </c>
      <c r="H1021" t="s">
        <v>4926</v>
      </c>
      <c r="I1021" t="s">
        <v>23</v>
      </c>
      <c r="J1021" t="s">
        <v>24</v>
      </c>
      <c r="K1021" t="s">
        <v>212</v>
      </c>
      <c r="L1021" t="s">
        <v>26</v>
      </c>
      <c r="M1021" t="s">
        <v>83</v>
      </c>
      <c r="N1021" t="s">
        <v>4927</v>
      </c>
      <c r="O1021" t="s">
        <v>29</v>
      </c>
      <c r="P1021" t="s">
        <v>110</v>
      </c>
      <c r="Q1021" t="s">
        <v>4928</v>
      </c>
      <c r="R1021">
        <v>349.62</v>
      </c>
      <c r="S1021">
        <v>5</v>
      </c>
      <c r="T1021">
        <v>0.2</v>
      </c>
      <c r="U1021">
        <v>46.37</v>
      </c>
    </row>
    <row r="1022" spans="1:21" x14ac:dyDescent="0.35">
      <c r="A1022" t="s">
        <v>4929</v>
      </c>
      <c r="B1022" s="2">
        <v>43276</v>
      </c>
      <c r="C1022" s="2" t="str">
        <f t="shared" si="30"/>
        <v>June</v>
      </c>
      <c r="D1022" s="2" t="str">
        <f t="shared" si="31"/>
        <v>2018</v>
      </c>
      <c r="E1022" s="2" t="s">
        <v>6151</v>
      </c>
      <c r="F1022" t="s">
        <v>42</v>
      </c>
      <c r="G1022" t="s">
        <v>4930</v>
      </c>
      <c r="H1022" t="s">
        <v>1544</v>
      </c>
      <c r="I1022" t="s">
        <v>23</v>
      </c>
      <c r="J1022" t="s">
        <v>24</v>
      </c>
      <c r="K1022" t="s">
        <v>73</v>
      </c>
      <c r="L1022" t="s">
        <v>37</v>
      </c>
      <c r="M1022" t="s">
        <v>83</v>
      </c>
      <c r="N1022" t="s">
        <v>4931</v>
      </c>
      <c r="O1022" t="s">
        <v>29</v>
      </c>
      <c r="P1022" t="s">
        <v>39</v>
      </c>
      <c r="Q1022" t="s">
        <v>3951</v>
      </c>
      <c r="R1022">
        <v>1202.82</v>
      </c>
      <c r="S1022">
        <v>6</v>
      </c>
      <c r="T1022">
        <v>0.3</v>
      </c>
      <c r="U1022">
        <v>95.66</v>
      </c>
    </row>
    <row r="1023" spans="1:21" x14ac:dyDescent="0.35">
      <c r="A1023" t="s">
        <v>4932</v>
      </c>
      <c r="B1023" s="2">
        <v>43265</v>
      </c>
      <c r="C1023" s="2" t="str">
        <f t="shared" si="30"/>
        <v>June</v>
      </c>
      <c r="D1023" s="2" t="str">
        <f t="shared" si="31"/>
        <v>2018</v>
      </c>
      <c r="E1023" s="2" t="s">
        <v>6052</v>
      </c>
      <c r="F1023" t="s">
        <v>52</v>
      </c>
      <c r="G1023" t="s">
        <v>4933</v>
      </c>
      <c r="H1023" t="s">
        <v>4934</v>
      </c>
      <c r="I1023" t="s">
        <v>23</v>
      </c>
      <c r="J1023" t="s">
        <v>24</v>
      </c>
      <c r="K1023" t="s">
        <v>45</v>
      </c>
      <c r="L1023" t="s">
        <v>115</v>
      </c>
      <c r="M1023" t="s">
        <v>27</v>
      </c>
      <c r="N1023" t="s">
        <v>4935</v>
      </c>
      <c r="O1023" t="s">
        <v>48</v>
      </c>
      <c r="P1023" t="s">
        <v>128</v>
      </c>
      <c r="Q1023" t="s">
        <v>4936</v>
      </c>
      <c r="R1023">
        <v>1490.02</v>
      </c>
      <c r="S1023">
        <v>6</v>
      </c>
      <c r="T1023">
        <v>0</v>
      </c>
      <c r="U1023">
        <v>-345.35</v>
      </c>
    </row>
    <row r="1024" spans="1:21" x14ac:dyDescent="0.35">
      <c r="A1024" t="s">
        <v>4937</v>
      </c>
      <c r="B1024" s="2">
        <v>42707</v>
      </c>
      <c r="C1024" s="2" t="str">
        <f t="shared" si="30"/>
        <v>December</v>
      </c>
      <c r="D1024" s="2" t="str">
        <f t="shared" si="31"/>
        <v>2016</v>
      </c>
      <c r="E1024" s="2">
        <v>42533</v>
      </c>
      <c r="F1024" t="s">
        <v>42</v>
      </c>
      <c r="G1024" t="s">
        <v>4938</v>
      </c>
      <c r="H1024" t="s">
        <v>3568</v>
      </c>
      <c r="I1024" t="s">
        <v>35</v>
      </c>
      <c r="J1024" t="s">
        <v>24</v>
      </c>
      <c r="K1024" t="s">
        <v>45</v>
      </c>
      <c r="L1024" t="s">
        <v>170</v>
      </c>
      <c r="M1024" t="s">
        <v>83</v>
      </c>
      <c r="N1024" t="s">
        <v>4939</v>
      </c>
      <c r="O1024" t="s">
        <v>67</v>
      </c>
      <c r="P1024" t="s">
        <v>229</v>
      </c>
      <c r="Q1024" t="s">
        <v>4940</v>
      </c>
      <c r="R1024">
        <v>101.8</v>
      </c>
      <c r="S1024">
        <v>8</v>
      </c>
      <c r="T1024">
        <v>0</v>
      </c>
      <c r="U1024">
        <v>19.739999999999998</v>
      </c>
    </row>
    <row r="1025" spans="1:21" x14ac:dyDescent="0.35">
      <c r="A1025" t="s">
        <v>4941</v>
      </c>
      <c r="B1025" s="2">
        <v>43607</v>
      </c>
      <c r="C1025" s="2" t="str">
        <f t="shared" si="30"/>
        <v>May</v>
      </c>
      <c r="D1025" s="2" t="str">
        <f t="shared" si="31"/>
        <v>2019</v>
      </c>
      <c r="E1025" s="2" t="s">
        <v>6095</v>
      </c>
      <c r="F1025" t="s">
        <v>42</v>
      </c>
      <c r="G1025" t="s">
        <v>4942</v>
      </c>
      <c r="H1025" t="s">
        <v>4943</v>
      </c>
      <c r="I1025" t="s">
        <v>35</v>
      </c>
      <c r="J1025" t="s">
        <v>24</v>
      </c>
      <c r="K1025" t="s">
        <v>97</v>
      </c>
      <c r="L1025" t="s">
        <v>170</v>
      </c>
      <c r="M1025" t="s">
        <v>83</v>
      </c>
      <c r="N1025" t="s">
        <v>4944</v>
      </c>
      <c r="O1025" t="s">
        <v>29</v>
      </c>
      <c r="P1025" t="s">
        <v>155</v>
      </c>
      <c r="Q1025" t="s">
        <v>4945</v>
      </c>
      <c r="R1025">
        <v>1798.68</v>
      </c>
      <c r="S1025">
        <v>1</v>
      </c>
      <c r="T1025">
        <v>0.2</v>
      </c>
      <c r="U1025">
        <v>-232.06</v>
      </c>
    </row>
    <row r="1026" spans="1:21" x14ac:dyDescent="0.35">
      <c r="A1026" t="s">
        <v>4946</v>
      </c>
      <c r="B1026" s="2">
        <v>42523</v>
      </c>
      <c r="C1026" s="2" t="str">
        <f t="shared" si="30"/>
        <v>June</v>
      </c>
      <c r="D1026" s="2" t="str">
        <f t="shared" si="31"/>
        <v>2016</v>
      </c>
      <c r="E1026" s="2">
        <v>42680</v>
      </c>
      <c r="F1026" t="s">
        <v>42</v>
      </c>
      <c r="G1026" t="s">
        <v>4947</v>
      </c>
      <c r="H1026" t="s">
        <v>4948</v>
      </c>
      <c r="I1026" t="s">
        <v>55</v>
      </c>
      <c r="J1026" t="s">
        <v>24</v>
      </c>
      <c r="K1026" t="s">
        <v>89</v>
      </c>
      <c r="L1026" t="s">
        <v>46</v>
      </c>
      <c r="M1026" t="s">
        <v>27</v>
      </c>
      <c r="N1026" t="s">
        <v>4949</v>
      </c>
      <c r="O1026" t="s">
        <v>67</v>
      </c>
      <c r="P1026" t="s">
        <v>92</v>
      </c>
      <c r="Q1026" t="s">
        <v>4950</v>
      </c>
      <c r="R1026">
        <v>1618.14</v>
      </c>
      <c r="S1026">
        <v>1</v>
      </c>
      <c r="T1026">
        <v>0.2</v>
      </c>
      <c r="U1026">
        <v>-465.15</v>
      </c>
    </row>
    <row r="1027" spans="1:21" x14ac:dyDescent="0.35">
      <c r="A1027" t="s">
        <v>4951</v>
      </c>
      <c r="B1027" s="2">
        <v>43189</v>
      </c>
      <c r="C1027" s="2" t="str">
        <f t="shared" ref="C1027:C1090" si="32">TEXT(B1027,"mmmm")</f>
        <v>March</v>
      </c>
      <c r="D1027" s="2" t="str">
        <f t="shared" ref="D1027:D1090" si="33">TEXT(B1027,"yyyy")</f>
        <v>2018</v>
      </c>
      <c r="E1027" s="2">
        <v>43163</v>
      </c>
      <c r="F1027" t="s">
        <v>42</v>
      </c>
      <c r="G1027" t="s">
        <v>4952</v>
      </c>
      <c r="H1027" t="s">
        <v>4953</v>
      </c>
      <c r="I1027" t="s">
        <v>23</v>
      </c>
      <c r="J1027" t="s">
        <v>24</v>
      </c>
      <c r="K1027" t="s">
        <v>73</v>
      </c>
      <c r="L1027" t="s">
        <v>90</v>
      </c>
      <c r="M1027" t="s">
        <v>74</v>
      </c>
      <c r="N1027" t="s">
        <v>4954</v>
      </c>
      <c r="O1027" t="s">
        <v>67</v>
      </c>
      <c r="P1027" t="s">
        <v>92</v>
      </c>
      <c r="Q1027" t="s">
        <v>4955</v>
      </c>
      <c r="R1027">
        <v>1591.15</v>
      </c>
      <c r="S1027">
        <v>1</v>
      </c>
      <c r="T1027">
        <v>0</v>
      </c>
      <c r="U1027">
        <v>32.18</v>
      </c>
    </row>
    <row r="1028" spans="1:21" x14ac:dyDescent="0.35">
      <c r="A1028" t="s">
        <v>4956</v>
      </c>
      <c r="B1028" s="2">
        <v>43212</v>
      </c>
      <c r="C1028" s="2" t="str">
        <f t="shared" si="32"/>
        <v>April</v>
      </c>
      <c r="D1028" s="2" t="str">
        <f t="shared" si="33"/>
        <v>2018</v>
      </c>
      <c r="E1028" s="2" t="s">
        <v>6042</v>
      </c>
      <c r="F1028" t="s">
        <v>42</v>
      </c>
      <c r="G1028" t="s">
        <v>4957</v>
      </c>
      <c r="H1028" t="s">
        <v>4958</v>
      </c>
      <c r="I1028" t="s">
        <v>55</v>
      </c>
      <c r="J1028" t="s">
        <v>24</v>
      </c>
      <c r="K1028" t="s">
        <v>81</v>
      </c>
      <c r="L1028" t="s">
        <v>90</v>
      </c>
      <c r="M1028" t="s">
        <v>83</v>
      </c>
      <c r="N1028" t="s">
        <v>4959</v>
      </c>
      <c r="O1028" t="s">
        <v>48</v>
      </c>
      <c r="P1028" t="s">
        <v>49</v>
      </c>
      <c r="Q1028" t="s">
        <v>4960</v>
      </c>
      <c r="R1028">
        <v>1971.52</v>
      </c>
      <c r="S1028">
        <v>9</v>
      </c>
      <c r="T1028">
        <v>0</v>
      </c>
      <c r="U1028">
        <v>-545.33000000000004</v>
      </c>
    </row>
    <row r="1029" spans="1:21" x14ac:dyDescent="0.35">
      <c r="A1029" t="s">
        <v>4961</v>
      </c>
      <c r="B1029" s="2">
        <v>42844</v>
      </c>
      <c r="C1029" s="2" t="str">
        <f t="shared" si="32"/>
        <v>April</v>
      </c>
      <c r="D1029" s="2" t="str">
        <f t="shared" si="33"/>
        <v>2017</v>
      </c>
      <c r="E1029" s="2" t="s">
        <v>6370</v>
      </c>
      <c r="F1029" t="s">
        <v>62</v>
      </c>
      <c r="G1029" t="s">
        <v>4962</v>
      </c>
      <c r="H1029" t="s">
        <v>4963</v>
      </c>
      <c r="I1029" t="s">
        <v>35</v>
      </c>
      <c r="J1029" t="s">
        <v>24</v>
      </c>
      <c r="K1029" t="s">
        <v>133</v>
      </c>
      <c r="L1029" t="s">
        <v>36</v>
      </c>
      <c r="M1029" t="s">
        <v>27</v>
      </c>
      <c r="N1029" t="s">
        <v>4964</v>
      </c>
      <c r="O1029" t="s">
        <v>48</v>
      </c>
      <c r="P1029" t="s">
        <v>128</v>
      </c>
      <c r="Q1029" t="s">
        <v>4965</v>
      </c>
      <c r="R1029">
        <v>793.13</v>
      </c>
      <c r="S1029">
        <v>9</v>
      </c>
      <c r="T1029">
        <v>0.2</v>
      </c>
      <c r="U1029">
        <v>360.71</v>
      </c>
    </row>
    <row r="1030" spans="1:21" x14ac:dyDescent="0.35">
      <c r="A1030" t="s">
        <v>4966</v>
      </c>
      <c r="B1030" s="2">
        <v>43796</v>
      </c>
      <c r="C1030" s="2" t="str">
        <f t="shared" si="32"/>
        <v>November</v>
      </c>
      <c r="D1030" s="2" t="str">
        <f t="shared" si="33"/>
        <v>2019</v>
      </c>
      <c r="E1030" s="2" t="s">
        <v>5943</v>
      </c>
      <c r="F1030" t="s">
        <v>42</v>
      </c>
      <c r="G1030" t="s">
        <v>4967</v>
      </c>
      <c r="H1030" t="s">
        <v>4968</v>
      </c>
      <c r="I1030" t="s">
        <v>55</v>
      </c>
      <c r="J1030" t="s">
        <v>24</v>
      </c>
      <c r="K1030" t="s">
        <v>97</v>
      </c>
      <c r="L1030" t="s">
        <v>46</v>
      </c>
      <c r="M1030" t="s">
        <v>74</v>
      </c>
      <c r="N1030" t="s">
        <v>4969</v>
      </c>
      <c r="O1030" t="s">
        <v>67</v>
      </c>
      <c r="P1030" t="s">
        <v>68</v>
      </c>
      <c r="Q1030" t="s">
        <v>4970</v>
      </c>
      <c r="R1030">
        <v>919.84</v>
      </c>
      <c r="S1030">
        <v>9</v>
      </c>
      <c r="T1030">
        <v>0</v>
      </c>
      <c r="U1030">
        <v>-188.68</v>
      </c>
    </row>
    <row r="1031" spans="1:21" x14ac:dyDescent="0.35">
      <c r="A1031" t="s">
        <v>4971</v>
      </c>
      <c r="B1031" s="2">
        <v>43627</v>
      </c>
      <c r="C1031" s="2" t="str">
        <f t="shared" si="32"/>
        <v>June</v>
      </c>
      <c r="D1031" s="2" t="str">
        <f t="shared" si="33"/>
        <v>2019</v>
      </c>
      <c r="E1031" s="2" t="s">
        <v>6371</v>
      </c>
      <c r="F1031" t="s">
        <v>42</v>
      </c>
      <c r="G1031" t="s">
        <v>4972</v>
      </c>
      <c r="H1031" t="s">
        <v>4973</v>
      </c>
      <c r="I1031" t="s">
        <v>23</v>
      </c>
      <c r="J1031" t="s">
        <v>24</v>
      </c>
      <c r="K1031" t="s">
        <v>81</v>
      </c>
      <c r="L1031" t="s">
        <v>26</v>
      </c>
      <c r="M1031" t="s">
        <v>74</v>
      </c>
      <c r="N1031" t="s">
        <v>4974</v>
      </c>
      <c r="O1031" t="s">
        <v>29</v>
      </c>
      <c r="P1031" t="s">
        <v>155</v>
      </c>
      <c r="Q1031" t="s">
        <v>4975</v>
      </c>
      <c r="R1031">
        <v>260.29000000000002</v>
      </c>
      <c r="S1031">
        <v>8</v>
      </c>
      <c r="T1031">
        <v>0.3</v>
      </c>
      <c r="U1031">
        <v>-5.75</v>
      </c>
    </row>
    <row r="1032" spans="1:21" x14ac:dyDescent="0.35">
      <c r="A1032" t="s">
        <v>4976</v>
      </c>
      <c r="B1032" s="2">
        <v>42686</v>
      </c>
      <c r="C1032" s="2" t="str">
        <f t="shared" si="32"/>
        <v>November</v>
      </c>
      <c r="D1032" s="2" t="str">
        <f t="shared" si="33"/>
        <v>2016</v>
      </c>
      <c r="E1032" s="2" t="s">
        <v>6005</v>
      </c>
      <c r="F1032" t="s">
        <v>20</v>
      </c>
      <c r="G1032" t="s">
        <v>4977</v>
      </c>
      <c r="H1032" t="s">
        <v>4978</v>
      </c>
      <c r="I1032" t="s">
        <v>23</v>
      </c>
      <c r="J1032" t="s">
        <v>24</v>
      </c>
      <c r="K1032" t="s">
        <v>89</v>
      </c>
      <c r="L1032" t="s">
        <v>46</v>
      </c>
      <c r="M1032" t="s">
        <v>57</v>
      </c>
      <c r="N1032" t="s">
        <v>4979</v>
      </c>
      <c r="O1032" t="s">
        <v>48</v>
      </c>
      <c r="P1032" t="s">
        <v>128</v>
      </c>
      <c r="Q1032" t="s">
        <v>4980</v>
      </c>
      <c r="R1032">
        <v>1385</v>
      </c>
      <c r="S1032">
        <v>8</v>
      </c>
      <c r="T1032">
        <v>0.1</v>
      </c>
      <c r="U1032">
        <v>-289.42</v>
      </c>
    </row>
    <row r="1033" spans="1:21" x14ac:dyDescent="0.35">
      <c r="A1033" t="s">
        <v>4981</v>
      </c>
      <c r="B1033" s="2">
        <v>42995</v>
      </c>
      <c r="C1033" s="2" t="str">
        <f t="shared" si="32"/>
        <v>September</v>
      </c>
      <c r="D1033" s="2" t="str">
        <f t="shared" si="33"/>
        <v>2017</v>
      </c>
      <c r="E1033" s="2" t="s">
        <v>6268</v>
      </c>
      <c r="F1033" t="s">
        <v>62</v>
      </c>
      <c r="G1033" t="s">
        <v>4982</v>
      </c>
      <c r="H1033" t="s">
        <v>4983</v>
      </c>
      <c r="I1033" t="s">
        <v>35</v>
      </c>
      <c r="J1033" t="s">
        <v>24</v>
      </c>
      <c r="K1033" t="s">
        <v>89</v>
      </c>
      <c r="L1033" t="s">
        <v>82</v>
      </c>
      <c r="M1033" t="s">
        <v>27</v>
      </c>
      <c r="N1033" t="s">
        <v>4984</v>
      </c>
      <c r="O1033" t="s">
        <v>29</v>
      </c>
      <c r="P1033" t="s">
        <v>110</v>
      </c>
      <c r="Q1033" t="s">
        <v>4985</v>
      </c>
      <c r="R1033">
        <v>928.35</v>
      </c>
      <c r="S1033">
        <v>6</v>
      </c>
      <c r="T1033">
        <v>0</v>
      </c>
      <c r="U1033">
        <v>78.599999999999994</v>
      </c>
    </row>
    <row r="1034" spans="1:21" x14ac:dyDescent="0.35">
      <c r="A1034" t="s">
        <v>4986</v>
      </c>
      <c r="B1034" s="2">
        <v>43462</v>
      </c>
      <c r="C1034" s="2" t="str">
        <f t="shared" si="32"/>
        <v>December</v>
      </c>
      <c r="D1034" s="2" t="str">
        <f t="shared" si="33"/>
        <v>2018</v>
      </c>
      <c r="E1034" s="2">
        <v>43617</v>
      </c>
      <c r="F1034" t="s">
        <v>42</v>
      </c>
      <c r="G1034" t="s">
        <v>4987</v>
      </c>
      <c r="H1034" t="s">
        <v>4988</v>
      </c>
      <c r="I1034" t="s">
        <v>35</v>
      </c>
      <c r="J1034" t="s">
        <v>24</v>
      </c>
      <c r="K1034" t="s">
        <v>212</v>
      </c>
      <c r="L1034" t="s">
        <v>82</v>
      </c>
      <c r="M1034" t="s">
        <v>74</v>
      </c>
      <c r="N1034" t="s">
        <v>4989</v>
      </c>
      <c r="O1034" t="s">
        <v>48</v>
      </c>
      <c r="P1034" t="s">
        <v>128</v>
      </c>
      <c r="Q1034" t="s">
        <v>4990</v>
      </c>
      <c r="R1034">
        <v>1443.61</v>
      </c>
      <c r="S1034">
        <v>7</v>
      </c>
      <c r="T1034">
        <v>0</v>
      </c>
      <c r="U1034">
        <v>-199.5</v>
      </c>
    </row>
    <row r="1035" spans="1:21" x14ac:dyDescent="0.35">
      <c r="A1035" t="s">
        <v>4991</v>
      </c>
      <c r="B1035" s="2">
        <v>42423</v>
      </c>
      <c r="C1035" s="2" t="str">
        <f t="shared" si="32"/>
        <v>February</v>
      </c>
      <c r="D1035" s="2" t="str">
        <f t="shared" si="33"/>
        <v>2016</v>
      </c>
      <c r="E1035" s="2" t="s">
        <v>6372</v>
      </c>
      <c r="F1035" t="s">
        <v>62</v>
      </c>
      <c r="G1035" t="s">
        <v>4992</v>
      </c>
      <c r="H1035" t="s">
        <v>4993</v>
      </c>
      <c r="I1035" t="s">
        <v>35</v>
      </c>
      <c r="J1035" t="s">
        <v>24</v>
      </c>
      <c r="K1035" t="s">
        <v>212</v>
      </c>
      <c r="L1035" t="s">
        <v>37</v>
      </c>
      <c r="M1035" t="s">
        <v>74</v>
      </c>
      <c r="N1035" t="s">
        <v>4994</v>
      </c>
      <c r="O1035" t="s">
        <v>48</v>
      </c>
      <c r="P1035" t="s">
        <v>59</v>
      </c>
      <c r="Q1035" t="s">
        <v>3598</v>
      </c>
      <c r="R1035">
        <v>916.13</v>
      </c>
      <c r="S1035">
        <v>6</v>
      </c>
      <c r="T1035">
        <v>0</v>
      </c>
      <c r="U1035">
        <v>-177.04</v>
      </c>
    </row>
    <row r="1036" spans="1:21" x14ac:dyDescent="0.35">
      <c r="A1036" t="s">
        <v>4995</v>
      </c>
      <c r="B1036" s="2">
        <v>43031</v>
      </c>
      <c r="C1036" s="2" t="str">
        <f t="shared" si="32"/>
        <v>October</v>
      </c>
      <c r="D1036" s="2" t="str">
        <f t="shared" si="33"/>
        <v>2017</v>
      </c>
      <c r="E1036" s="2">
        <v>42746</v>
      </c>
      <c r="F1036" t="s">
        <v>20</v>
      </c>
      <c r="G1036" t="s">
        <v>4996</v>
      </c>
      <c r="H1036" t="s">
        <v>4997</v>
      </c>
      <c r="I1036" t="s">
        <v>35</v>
      </c>
      <c r="J1036" t="s">
        <v>24</v>
      </c>
      <c r="K1036" t="s">
        <v>36</v>
      </c>
      <c r="L1036" t="s">
        <v>56</v>
      </c>
      <c r="M1036" t="s">
        <v>83</v>
      </c>
      <c r="N1036" t="s">
        <v>4998</v>
      </c>
      <c r="O1036" t="s">
        <v>67</v>
      </c>
      <c r="P1036" t="s">
        <v>350</v>
      </c>
      <c r="Q1036" t="s">
        <v>4999</v>
      </c>
      <c r="R1036">
        <v>1777.68</v>
      </c>
      <c r="S1036">
        <v>1</v>
      </c>
      <c r="T1036">
        <v>0.3</v>
      </c>
      <c r="U1036">
        <v>87.73</v>
      </c>
    </row>
    <row r="1037" spans="1:21" x14ac:dyDescent="0.35">
      <c r="A1037" t="s">
        <v>5000</v>
      </c>
      <c r="B1037" s="2">
        <v>43041</v>
      </c>
      <c r="C1037" s="2" t="str">
        <f t="shared" si="32"/>
        <v>November</v>
      </c>
      <c r="D1037" s="2" t="str">
        <f t="shared" si="33"/>
        <v>2017</v>
      </c>
      <c r="E1037" s="2">
        <v>42805</v>
      </c>
      <c r="F1037" t="s">
        <v>20</v>
      </c>
      <c r="G1037" t="s">
        <v>5001</v>
      </c>
      <c r="H1037" t="s">
        <v>5002</v>
      </c>
      <c r="I1037" t="s">
        <v>35</v>
      </c>
      <c r="J1037" t="s">
        <v>24</v>
      </c>
      <c r="K1037" t="s">
        <v>36</v>
      </c>
      <c r="L1037" t="s">
        <v>82</v>
      </c>
      <c r="M1037" t="s">
        <v>57</v>
      </c>
      <c r="N1037" t="s">
        <v>5003</v>
      </c>
      <c r="O1037" t="s">
        <v>67</v>
      </c>
      <c r="P1037" t="s">
        <v>68</v>
      </c>
      <c r="Q1037" t="s">
        <v>3716</v>
      </c>
      <c r="R1037">
        <v>1665.14</v>
      </c>
      <c r="S1037">
        <v>10</v>
      </c>
      <c r="T1037">
        <v>0</v>
      </c>
      <c r="U1037">
        <v>-78</v>
      </c>
    </row>
    <row r="1038" spans="1:21" x14ac:dyDescent="0.35">
      <c r="A1038" t="s">
        <v>5004</v>
      </c>
      <c r="B1038" s="2">
        <v>43258</v>
      </c>
      <c r="C1038" s="2" t="str">
        <f t="shared" si="32"/>
        <v>June</v>
      </c>
      <c r="D1038" s="2" t="str">
        <f t="shared" si="33"/>
        <v>2018</v>
      </c>
      <c r="E1038" s="2" t="s">
        <v>6108</v>
      </c>
      <c r="F1038" t="s">
        <v>52</v>
      </c>
      <c r="G1038" t="s">
        <v>5005</v>
      </c>
      <c r="H1038" t="s">
        <v>5006</v>
      </c>
      <c r="I1038" t="s">
        <v>55</v>
      </c>
      <c r="J1038" t="s">
        <v>24</v>
      </c>
      <c r="K1038" t="s">
        <v>45</v>
      </c>
      <c r="L1038" t="s">
        <v>56</v>
      </c>
      <c r="M1038" t="s">
        <v>27</v>
      </c>
      <c r="N1038" t="s">
        <v>5007</v>
      </c>
      <c r="O1038" t="s">
        <v>67</v>
      </c>
      <c r="P1038" t="s">
        <v>68</v>
      </c>
      <c r="Q1038" t="s">
        <v>5008</v>
      </c>
      <c r="R1038">
        <v>516.02</v>
      </c>
      <c r="S1038">
        <v>6</v>
      </c>
      <c r="T1038">
        <v>0</v>
      </c>
      <c r="U1038">
        <v>219.21</v>
      </c>
    </row>
    <row r="1039" spans="1:21" x14ac:dyDescent="0.35">
      <c r="A1039" t="s">
        <v>5009</v>
      </c>
      <c r="B1039" s="2">
        <v>43330</v>
      </c>
      <c r="C1039" s="2" t="str">
        <f t="shared" si="32"/>
        <v>August</v>
      </c>
      <c r="D1039" s="2" t="str">
        <f t="shared" si="33"/>
        <v>2018</v>
      </c>
      <c r="E1039" s="2" t="s">
        <v>6373</v>
      </c>
      <c r="F1039" t="s">
        <v>62</v>
      </c>
      <c r="G1039" t="s">
        <v>5010</v>
      </c>
      <c r="H1039" t="s">
        <v>5011</v>
      </c>
      <c r="I1039" t="s">
        <v>23</v>
      </c>
      <c r="J1039" t="s">
        <v>24</v>
      </c>
      <c r="K1039" t="s">
        <v>81</v>
      </c>
      <c r="L1039" t="s">
        <v>37</v>
      </c>
      <c r="M1039" t="s">
        <v>83</v>
      </c>
      <c r="N1039" t="s">
        <v>5012</v>
      </c>
      <c r="O1039" t="s">
        <v>48</v>
      </c>
      <c r="P1039" t="s">
        <v>128</v>
      </c>
      <c r="Q1039" t="s">
        <v>5013</v>
      </c>
      <c r="R1039">
        <v>1865.78</v>
      </c>
      <c r="S1039">
        <v>4</v>
      </c>
      <c r="T1039">
        <v>0</v>
      </c>
      <c r="U1039">
        <v>40.26</v>
      </c>
    </row>
    <row r="1040" spans="1:21" x14ac:dyDescent="0.35">
      <c r="A1040" t="s">
        <v>5014</v>
      </c>
      <c r="B1040" s="2">
        <v>42975</v>
      </c>
      <c r="C1040" s="2" t="str">
        <f t="shared" si="32"/>
        <v>August</v>
      </c>
      <c r="D1040" s="2" t="str">
        <f t="shared" si="33"/>
        <v>2017</v>
      </c>
      <c r="E1040" s="2" t="s">
        <v>6374</v>
      </c>
      <c r="F1040" t="s">
        <v>20</v>
      </c>
      <c r="G1040" t="s">
        <v>5015</v>
      </c>
      <c r="H1040" t="s">
        <v>5016</v>
      </c>
      <c r="I1040" t="s">
        <v>35</v>
      </c>
      <c r="J1040" t="s">
        <v>24</v>
      </c>
      <c r="K1040" t="s">
        <v>36</v>
      </c>
      <c r="L1040" t="s">
        <v>36</v>
      </c>
      <c r="M1040" t="s">
        <v>27</v>
      </c>
      <c r="N1040" t="s">
        <v>5017</v>
      </c>
      <c r="O1040" t="s">
        <v>48</v>
      </c>
      <c r="P1040" t="s">
        <v>128</v>
      </c>
      <c r="Q1040" t="s">
        <v>3490</v>
      </c>
      <c r="R1040">
        <v>857.16</v>
      </c>
      <c r="S1040">
        <v>10</v>
      </c>
      <c r="T1040">
        <v>0</v>
      </c>
      <c r="U1040">
        <v>-196.32</v>
      </c>
    </row>
    <row r="1041" spans="1:21" x14ac:dyDescent="0.35">
      <c r="A1041" t="s">
        <v>5018</v>
      </c>
      <c r="B1041" s="2">
        <v>43733</v>
      </c>
      <c r="C1041" s="2" t="str">
        <f t="shared" si="32"/>
        <v>September</v>
      </c>
      <c r="D1041" s="2" t="str">
        <f t="shared" si="33"/>
        <v>2019</v>
      </c>
      <c r="E1041" s="2" t="s">
        <v>6067</v>
      </c>
      <c r="F1041" t="s">
        <v>52</v>
      </c>
      <c r="G1041" t="s">
        <v>5019</v>
      </c>
      <c r="H1041" t="s">
        <v>5020</v>
      </c>
      <c r="I1041" t="s">
        <v>55</v>
      </c>
      <c r="J1041" t="s">
        <v>24</v>
      </c>
      <c r="K1041" t="s">
        <v>73</v>
      </c>
      <c r="L1041" t="s">
        <v>56</v>
      </c>
      <c r="M1041" t="s">
        <v>74</v>
      </c>
      <c r="N1041" t="s">
        <v>5021</v>
      </c>
      <c r="O1041" t="s">
        <v>29</v>
      </c>
      <c r="P1041" t="s">
        <v>30</v>
      </c>
      <c r="Q1041" t="s">
        <v>5022</v>
      </c>
      <c r="R1041">
        <v>1706.16</v>
      </c>
      <c r="S1041">
        <v>5</v>
      </c>
      <c r="T1041">
        <v>0.2</v>
      </c>
      <c r="U1041">
        <v>581.25</v>
      </c>
    </row>
    <row r="1042" spans="1:21" x14ac:dyDescent="0.35">
      <c r="A1042" t="s">
        <v>5023</v>
      </c>
      <c r="B1042" s="2">
        <v>42473</v>
      </c>
      <c r="C1042" s="2" t="str">
        <f t="shared" si="32"/>
        <v>April</v>
      </c>
      <c r="D1042" s="2" t="str">
        <f t="shared" si="33"/>
        <v>2016</v>
      </c>
      <c r="E1042" s="2" t="s">
        <v>6375</v>
      </c>
      <c r="F1042" t="s">
        <v>62</v>
      </c>
      <c r="G1042" t="s">
        <v>5024</v>
      </c>
      <c r="H1042" t="s">
        <v>5025</v>
      </c>
      <c r="I1042" t="s">
        <v>23</v>
      </c>
      <c r="J1042" t="s">
        <v>24</v>
      </c>
      <c r="K1042" t="s">
        <v>73</v>
      </c>
      <c r="L1042" t="s">
        <v>36</v>
      </c>
      <c r="M1042" t="s">
        <v>57</v>
      </c>
      <c r="N1042" t="s">
        <v>5026</v>
      </c>
      <c r="O1042" t="s">
        <v>48</v>
      </c>
      <c r="P1042" t="s">
        <v>128</v>
      </c>
      <c r="Q1042" t="s">
        <v>5027</v>
      </c>
      <c r="R1042">
        <v>872.87</v>
      </c>
      <c r="S1042">
        <v>8</v>
      </c>
      <c r="T1042">
        <v>0.3</v>
      </c>
      <c r="U1042">
        <v>48.98</v>
      </c>
    </row>
    <row r="1043" spans="1:21" x14ac:dyDescent="0.35">
      <c r="A1043" t="s">
        <v>5028</v>
      </c>
      <c r="B1043" s="2">
        <v>43441</v>
      </c>
      <c r="C1043" s="2" t="str">
        <f t="shared" si="32"/>
        <v>December</v>
      </c>
      <c r="D1043" s="2" t="str">
        <f t="shared" si="33"/>
        <v>2018</v>
      </c>
      <c r="E1043" s="2">
        <v>43416</v>
      </c>
      <c r="F1043" t="s">
        <v>62</v>
      </c>
      <c r="G1043" t="s">
        <v>5029</v>
      </c>
      <c r="H1043" t="s">
        <v>5030</v>
      </c>
      <c r="I1043" t="s">
        <v>23</v>
      </c>
      <c r="J1043" t="s">
        <v>24</v>
      </c>
      <c r="K1043" t="s">
        <v>103</v>
      </c>
      <c r="L1043" t="s">
        <v>115</v>
      </c>
      <c r="M1043" t="s">
        <v>57</v>
      </c>
      <c r="N1043" t="s">
        <v>5031</v>
      </c>
      <c r="O1043" t="s">
        <v>29</v>
      </c>
      <c r="P1043" t="s">
        <v>110</v>
      </c>
      <c r="Q1043" t="s">
        <v>5032</v>
      </c>
      <c r="R1043">
        <v>513.79</v>
      </c>
      <c r="S1043">
        <v>3</v>
      </c>
      <c r="T1043">
        <v>0.4</v>
      </c>
      <c r="U1043">
        <v>124.27</v>
      </c>
    </row>
    <row r="1044" spans="1:21" x14ac:dyDescent="0.35">
      <c r="A1044" t="s">
        <v>5033</v>
      </c>
      <c r="B1044" s="2">
        <v>43101</v>
      </c>
      <c r="C1044" s="2" t="str">
        <f t="shared" si="32"/>
        <v>January</v>
      </c>
      <c r="D1044" s="2" t="str">
        <f t="shared" si="33"/>
        <v>2018</v>
      </c>
      <c r="E1044" s="2">
        <v>43252</v>
      </c>
      <c r="F1044" t="s">
        <v>62</v>
      </c>
      <c r="G1044" t="s">
        <v>5034</v>
      </c>
      <c r="H1044" t="s">
        <v>5035</v>
      </c>
      <c r="I1044" t="s">
        <v>23</v>
      </c>
      <c r="J1044" t="s">
        <v>24</v>
      </c>
      <c r="K1044" t="s">
        <v>73</v>
      </c>
      <c r="L1044" t="s">
        <v>37</v>
      </c>
      <c r="M1044" t="s">
        <v>27</v>
      </c>
      <c r="N1044" t="s">
        <v>5036</v>
      </c>
      <c r="O1044" t="s">
        <v>48</v>
      </c>
      <c r="P1044" t="s">
        <v>59</v>
      </c>
      <c r="Q1044" t="s">
        <v>5037</v>
      </c>
      <c r="R1044">
        <v>1194.6099999999999</v>
      </c>
      <c r="S1044">
        <v>2</v>
      </c>
      <c r="T1044">
        <v>0</v>
      </c>
      <c r="U1044">
        <v>-278.52</v>
      </c>
    </row>
    <row r="1045" spans="1:21" x14ac:dyDescent="0.35">
      <c r="A1045" t="s">
        <v>5038</v>
      </c>
      <c r="B1045" s="2">
        <v>43688</v>
      </c>
      <c r="C1045" s="2" t="str">
        <f t="shared" si="32"/>
        <v>August</v>
      </c>
      <c r="D1045" s="2" t="str">
        <f t="shared" si="33"/>
        <v>2019</v>
      </c>
      <c r="E1045" s="2" t="s">
        <v>6192</v>
      </c>
      <c r="F1045" t="s">
        <v>52</v>
      </c>
      <c r="G1045" t="s">
        <v>5039</v>
      </c>
      <c r="H1045" t="s">
        <v>5040</v>
      </c>
      <c r="I1045" t="s">
        <v>23</v>
      </c>
      <c r="J1045" t="s">
        <v>24</v>
      </c>
      <c r="K1045" t="s">
        <v>25</v>
      </c>
      <c r="L1045" t="s">
        <v>37</v>
      </c>
      <c r="M1045" t="s">
        <v>57</v>
      </c>
      <c r="N1045" t="s">
        <v>5041</v>
      </c>
      <c r="O1045" t="s">
        <v>67</v>
      </c>
      <c r="P1045" t="s">
        <v>229</v>
      </c>
      <c r="Q1045" t="s">
        <v>5042</v>
      </c>
      <c r="R1045">
        <v>255.7</v>
      </c>
      <c r="S1045">
        <v>3</v>
      </c>
      <c r="T1045">
        <v>0</v>
      </c>
      <c r="U1045">
        <v>48.41</v>
      </c>
    </row>
    <row r="1046" spans="1:21" x14ac:dyDescent="0.35">
      <c r="A1046" t="s">
        <v>5043</v>
      </c>
      <c r="B1046" s="2">
        <v>42985</v>
      </c>
      <c r="C1046" s="2" t="str">
        <f t="shared" si="32"/>
        <v>September</v>
      </c>
      <c r="D1046" s="2" t="str">
        <f t="shared" si="33"/>
        <v>2017</v>
      </c>
      <c r="E1046" s="2">
        <v>43017</v>
      </c>
      <c r="F1046" t="s">
        <v>20</v>
      </c>
      <c r="G1046" t="s">
        <v>5044</v>
      </c>
      <c r="H1046" t="s">
        <v>5045</v>
      </c>
      <c r="I1046" t="s">
        <v>55</v>
      </c>
      <c r="J1046" t="s">
        <v>24</v>
      </c>
      <c r="K1046" t="s">
        <v>89</v>
      </c>
      <c r="L1046" t="s">
        <v>82</v>
      </c>
      <c r="M1046" t="s">
        <v>27</v>
      </c>
      <c r="N1046" t="s">
        <v>5046</v>
      </c>
      <c r="O1046" t="s">
        <v>48</v>
      </c>
      <c r="P1046" t="s">
        <v>59</v>
      </c>
      <c r="Q1046" t="s">
        <v>5047</v>
      </c>
      <c r="R1046">
        <v>1605.13</v>
      </c>
      <c r="S1046">
        <v>2</v>
      </c>
      <c r="T1046">
        <v>0.3</v>
      </c>
      <c r="U1046">
        <v>-341.19</v>
      </c>
    </row>
    <row r="1047" spans="1:21" x14ac:dyDescent="0.35">
      <c r="A1047" t="s">
        <v>5048</v>
      </c>
      <c r="B1047" s="2">
        <v>43816</v>
      </c>
      <c r="C1047" s="2" t="str">
        <f t="shared" si="32"/>
        <v>December</v>
      </c>
      <c r="D1047" s="2" t="str">
        <f t="shared" si="33"/>
        <v>2019</v>
      </c>
      <c r="E1047" s="2" t="s">
        <v>6376</v>
      </c>
      <c r="F1047" t="s">
        <v>42</v>
      </c>
      <c r="G1047" t="s">
        <v>5049</v>
      </c>
      <c r="H1047" t="s">
        <v>5050</v>
      </c>
      <c r="I1047" t="s">
        <v>23</v>
      </c>
      <c r="J1047" t="s">
        <v>24</v>
      </c>
      <c r="K1047" t="s">
        <v>133</v>
      </c>
      <c r="L1047" t="s">
        <v>90</v>
      </c>
      <c r="M1047" t="s">
        <v>57</v>
      </c>
      <c r="N1047" t="s">
        <v>5051</v>
      </c>
      <c r="O1047" t="s">
        <v>29</v>
      </c>
      <c r="P1047" t="s">
        <v>39</v>
      </c>
      <c r="Q1047" t="s">
        <v>5052</v>
      </c>
      <c r="R1047">
        <v>1171.1300000000001</v>
      </c>
      <c r="S1047">
        <v>1</v>
      </c>
      <c r="T1047">
        <v>0.3</v>
      </c>
      <c r="U1047">
        <v>-347.56</v>
      </c>
    </row>
    <row r="1048" spans="1:21" x14ac:dyDescent="0.35">
      <c r="A1048" t="s">
        <v>5053</v>
      </c>
      <c r="B1048" s="2">
        <v>43645</v>
      </c>
      <c r="C1048" s="2" t="str">
        <f t="shared" si="32"/>
        <v>June</v>
      </c>
      <c r="D1048" s="2" t="str">
        <f t="shared" si="33"/>
        <v>2019</v>
      </c>
      <c r="E1048" s="2" t="s">
        <v>5989</v>
      </c>
      <c r="F1048" t="s">
        <v>62</v>
      </c>
      <c r="G1048" t="s">
        <v>5054</v>
      </c>
      <c r="H1048" t="s">
        <v>2301</v>
      </c>
      <c r="I1048" t="s">
        <v>35</v>
      </c>
      <c r="J1048" t="s">
        <v>24</v>
      </c>
      <c r="K1048" t="s">
        <v>73</v>
      </c>
      <c r="L1048" t="s">
        <v>90</v>
      </c>
      <c r="M1048" t="s">
        <v>57</v>
      </c>
      <c r="N1048" t="s">
        <v>5055</v>
      </c>
      <c r="O1048" t="s">
        <v>29</v>
      </c>
      <c r="P1048" t="s">
        <v>110</v>
      </c>
      <c r="Q1048" t="s">
        <v>5056</v>
      </c>
      <c r="R1048">
        <v>322.95999999999998</v>
      </c>
      <c r="S1048">
        <v>7</v>
      </c>
      <c r="T1048">
        <v>0.2</v>
      </c>
      <c r="U1048">
        <v>48.52</v>
      </c>
    </row>
    <row r="1049" spans="1:21" x14ac:dyDescent="0.35">
      <c r="A1049" t="s">
        <v>5057</v>
      </c>
      <c r="B1049" s="2">
        <v>42675</v>
      </c>
      <c r="C1049" s="2" t="str">
        <f t="shared" si="32"/>
        <v>November</v>
      </c>
      <c r="D1049" s="2" t="str">
        <f t="shared" si="33"/>
        <v>2016</v>
      </c>
      <c r="E1049" s="2">
        <v>42624</v>
      </c>
      <c r="F1049" t="s">
        <v>62</v>
      </c>
      <c r="G1049" t="s">
        <v>5058</v>
      </c>
      <c r="H1049" t="s">
        <v>5059</v>
      </c>
      <c r="I1049" t="s">
        <v>23</v>
      </c>
      <c r="J1049" t="s">
        <v>24</v>
      </c>
      <c r="K1049" t="s">
        <v>212</v>
      </c>
      <c r="L1049" t="s">
        <v>26</v>
      </c>
      <c r="M1049" t="s">
        <v>57</v>
      </c>
      <c r="N1049" t="s">
        <v>5060</v>
      </c>
      <c r="O1049" t="s">
        <v>67</v>
      </c>
      <c r="P1049" t="s">
        <v>229</v>
      </c>
      <c r="Q1049" t="s">
        <v>5061</v>
      </c>
      <c r="R1049">
        <v>949.16</v>
      </c>
      <c r="S1049">
        <v>10</v>
      </c>
      <c r="T1049">
        <v>0.3</v>
      </c>
      <c r="U1049">
        <v>50.78</v>
      </c>
    </row>
    <row r="1050" spans="1:21" x14ac:dyDescent="0.35">
      <c r="A1050" t="s">
        <v>5062</v>
      </c>
      <c r="B1050" s="2">
        <v>42545</v>
      </c>
      <c r="C1050" s="2" t="str">
        <f t="shared" si="32"/>
        <v>June</v>
      </c>
      <c r="D1050" s="2" t="str">
        <f t="shared" si="33"/>
        <v>2016</v>
      </c>
      <c r="E1050" s="2">
        <v>42407</v>
      </c>
      <c r="F1050" t="s">
        <v>52</v>
      </c>
      <c r="G1050" t="s">
        <v>5063</v>
      </c>
      <c r="H1050" t="s">
        <v>5064</v>
      </c>
      <c r="I1050" t="s">
        <v>23</v>
      </c>
      <c r="J1050" t="s">
        <v>24</v>
      </c>
      <c r="K1050" t="s">
        <v>212</v>
      </c>
      <c r="L1050" t="s">
        <v>26</v>
      </c>
      <c r="M1050" t="s">
        <v>83</v>
      </c>
      <c r="N1050" t="s">
        <v>5065</v>
      </c>
      <c r="O1050" t="s">
        <v>67</v>
      </c>
      <c r="P1050" t="s">
        <v>197</v>
      </c>
      <c r="Q1050" t="s">
        <v>5066</v>
      </c>
      <c r="R1050">
        <v>1583.18</v>
      </c>
      <c r="S1050">
        <v>3</v>
      </c>
      <c r="T1050">
        <v>0</v>
      </c>
      <c r="U1050">
        <v>-232.25</v>
      </c>
    </row>
    <row r="1051" spans="1:21" x14ac:dyDescent="0.35">
      <c r="A1051" t="s">
        <v>5067</v>
      </c>
      <c r="B1051" s="2">
        <v>43776</v>
      </c>
      <c r="C1051" s="2" t="str">
        <f t="shared" si="32"/>
        <v>November</v>
      </c>
      <c r="D1051" s="2" t="str">
        <f t="shared" si="33"/>
        <v>2019</v>
      </c>
      <c r="E1051" s="2" t="s">
        <v>5974</v>
      </c>
      <c r="F1051" t="s">
        <v>42</v>
      </c>
      <c r="G1051" t="s">
        <v>5068</v>
      </c>
      <c r="H1051" t="s">
        <v>5069</v>
      </c>
      <c r="I1051" t="s">
        <v>55</v>
      </c>
      <c r="J1051" t="s">
        <v>24</v>
      </c>
      <c r="K1051" t="s">
        <v>73</v>
      </c>
      <c r="L1051" t="s">
        <v>90</v>
      </c>
      <c r="M1051" t="s">
        <v>27</v>
      </c>
      <c r="N1051" t="s">
        <v>5070</v>
      </c>
      <c r="O1051" t="s">
        <v>67</v>
      </c>
      <c r="P1051" t="s">
        <v>92</v>
      </c>
      <c r="Q1051" t="s">
        <v>5071</v>
      </c>
      <c r="R1051">
        <v>1683.96</v>
      </c>
      <c r="S1051">
        <v>5</v>
      </c>
      <c r="T1051">
        <v>0.2</v>
      </c>
      <c r="U1051">
        <v>320.61</v>
      </c>
    </row>
    <row r="1052" spans="1:21" x14ac:dyDescent="0.35">
      <c r="A1052" t="s">
        <v>5072</v>
      </c>
      <c r="B1052" s="2">
        <v>43006</v>
      </c>
      <c r="C1052" s="2" t="str">
        <f t="shared" si="32"/>
        <v>September</v>
      </c>
      <c r="D1052" s="2" t="str">
        <f t="shared" si="33"/>
        <v>2017</v>
      </c>
      <c r="E1052" s="2">
        <v>42957</v>
      </c>
      <c r="F1052" t="s">
        <v>20</v>
      </c>
      <c r="G1052" t="s">
        <v>5073</v>
      </c>
      <c r="H1052" t="s">
        <v>5074</v>
      </c>
      <c r="I1052" t="s">
        <v>23</v>
      </c>
      <c r="J1052" t="s">
        <v>24</v>
      </c>
      <c r="K1052" t="s">
        <v>45</v>
      </c>
      <c r="L1052" t="s">
        <v>46</v>
      </c>
      <c r="M1052" t="s">
        <v>57</v>
      </c>
      <c r="N1052" t="s">
        <v>5075</v>
      </c>
      <c r="O1052" t="s">
        <v>29</v>
      </c>
      <c r="P1052" t="s">
        <v>30</v>
      </c>
      <c r="Q1052" t="s">
        <v>5076</v>
      </c>
      <c r="R1052">
        <v>1053.95</v>
      </c>
      <c r="S1052">
        <v>1</v>
      </c>
      <c r="T1052">
        <v>0</v>
      </c>
      <c r="U1052">
        <v>-181.79</v>
      </c>
    </row>
    <row r="1053" spans="1:21" x14ac:dyDescent="0.35">
      <c r="A1053" t="s">
        <v>5077</v>
      </c>
      <c r="B1053" s="2">
        <v>42375</v>
      </c>
      <c r="C1053" s="2" t="str">
        <f t="shared" si="32"/>
        <v>January</v>
      </c>
      <c r="D1053" s="2" t="str">
        <f t="shared" si="33"/>
        <v>2016</v>
      </c>
      <c r="E1053" s="2">
        <v>42675</v>
      </c>
      <c r="F1053" t="s">
        <v>42</v>
      </c>
      <c r="G1053" t="s">
        <v>5078</v>
      </c>
      <c r="H1053" t="s">
        <v>2346</v>
      </c>
      <c r="I1053" t="s">
        <v>35</v>
      </c>
      <c r="J1053" t="s">
        <v>24</v>
      </c>
      <c r="K1053" t="s">
        <v>133</v>
      </c>
      <c r="L1053" t="s">
        <v>82</v>
      </c>
      <c r="M1053" t="s">
        <v>57</v>
      </c>
      <c r="N1053" t="s">
        <v>5079</v>
      </c>
      <c r="O1053" t="s">
        <v>29</v>
      </c>
      <c r="P1053" t="s">
        <v>39</v>
      </c>
      <c r="Q1053" t="s">
        <v>2343</v>
      </c>
      <c r="R1053">
        <v>816.89</v>
      </c>
      <c r="S1053">
        <v>10</v>
      </c>
      <c r="T1053">
        <v>0</v>
      </c>
      <c r="U1053">
        <v>-196.36</v>
      </c>
    </row>
    <row r="1054" spans="1:21" x14ac:dyDescent="0.35">
      <c r="A1054" t="s">
        <v>5080</v>
      </c>
      <c r="B1054" s="2">
        <v>42707</v>
      </c>
      <c r="C1054" s="2" t="str">
        <f t="shared" si="32"/>
        <v>December</v>
      </c>
      <c r="D1054" s="2" t="str">
        <f t="shared" si="33"/>
        <v>2016</v>
      </c>
      <c r="E1054" s="2">
        <v>42502</v>
      </c>
      <c r="F1054" t="s">
        <v>62</v>
      </c>
      <c r="G1054" t="s">
        <v>5081</v>
      </c>
      <c r="H1054" t="s">
        <v>5082</v>
      </c>
      <c r="I1054" t="s">
        <v>55</v>
      </c>
      <c r="J1054" t="s">
        <v>24</v>
      </c>
      <c r="K1054" t="s">
        <v>36</v>
      </c>
      <c r="L1054" t="s">
        <v>36</v>
      </c>
      <c r="M1054" t="s">
        <v>27</v>
      </c>
      <c r="N1054" t="s">
        <v>5083</v>
      </c>
      <c r="O1054" t="s">
        <v>48</v>
      </c>
      <c r="P1054" t="s">
        <v>49</v>
      </c>
      <c r="Q1054" t="s">
        <v>4918</v>
      </c>
      <c r="R1054">
        <v>1709.75</v>
      </c>
      <c r="S1054">
        <v>6</v>
      </c>
      <c r="T1054">
        <v>0.3</v>
      </c>
      <c r="U1054">
        <v>557.87</v>
      </c>
    </row>
    <row r="1055" spans="1:21" x14ac:dyDescent="0.35">
      <c r="A1055" t="s">
        <v>5084</v>
      </c>
      <c r="B1055" s="2">
        <v>42691</v>
      </c>
      <c r="C1055" s="2" t="str">
        <f t="shared" si="32"/>
        <v>November</v>
      </c>
      <c r="D1055" s="2" t="str">
        <f t="shared" si="33"/>
        <v>2016</v>
      </c>
      <c r="E1055" s="2" t="s">
        <v>6377</v>
      </c>
      <c r="F1055" t="s">
        <v>52</v>
      </c>
      <c r="G1055" t="s">
        <v>5085</v>
      </c>
      <c r="H1055" t="s">
        <v>5086</v>
      </c>
      <c r="I1055" t="s">
        <v>55</v>
      </c>
      <c r="J1055" t="s">
        <v>24</v>
      </c>
      <c r="K1055" t="s">
        <v>73</v>
      </c>
      <c r="L1055" t="s">
        <v>26</v>
      </c>
      <c r="M1055" t="s">
        <v>74</v>
      </c>
      <c r="N1055" t="s">
        <v>5087</v>
      </c>
      <c r="O1055" t="s">
        <v>29</v>
      </c>
      <c r="P1055" t="s">
        <v>39</v>
      </c>
      <c r="Q1055" t="s">
        <v>863</v>
      </c>
      <c r="R1055">
        <v>537.29</v>
      </c>
      <c r="S1055">
        <v>8</v>
      </c>
      <c r="T1055">
        <v>0</v>
      </c>
      <c r="U1055">
        <v>172.2</v>
      </c>
    </row>
    <row r="1056" spans="1:21" x14ac:dyDescent="0.35">
      <c r="A1056" t="s">
        <v>5088</v>
      </c>
      <c r="B1056" s="2">
        <v>43225</v>
      </c>
      <c r="C1056" s="2" t="str">
        <f t="shared" si="32"/>
        <v>May</v>
      </c>
      <c r="D1056" s="2" t="str">
        <f t="shared" si="33"/>
        <v>2018</v>
      </c>
      <c r="E1056" s="2">
        <v>43317</v>
      </c>
      <c r="F1056" t="s">
        <v>42</v>
      </c>
      <c r="G1056" t="s">
        <v>5089</v>
      </c>
      <c r="H1056" t="s">
        <v>1436</v>
      </c>
      <c r="I1056" t="s">
        <v>23</v>
      </c>
      <c r="J1056" t="s">
        <v>24</v>
      </c>
      <c r="K1056" t="s">
        <v>36</v>
      </c>
      <c r="L1056" t="s">
        <v>170</v>
      </c>
      <c r="M1056" t="s">
        <v>74</v>
      </c>
      <c r="N1056" t="s">
        <v>2695</v>
      </c>
      <c r="O1056" t="s">
        <v>29</v>
      </c>
      <c r="P1056" t="s">
        <v>39</v>
      </c>
      <c r="Q1056" t="s">
        <v>5090</v>
      </c>
      <c r="R1056">
        <v>1951.6</v>
      </c>
      <c r="S1056">
        <v>1</v>
      </c>
      <c r="T1056">
        <v>0</v>
      </c>
      <c r="U1056">
        <v>-92.38</v>
      </c>
    </row>
    <row r="1057" spans="1:21" x14ac:dyDescent="0.35">
      <c r="A1057" t="s">
        <v>5091</v>
      </c>
      <c r="B1057" s="2">
        <v>43733</v>
      </c>
      <c r="C1057" s="2" t="str">
        <f t="shared" si="32"/>
        <v>September</v>
      </c>
      <c r="D1057" s="2" t="str">
        <f t="shared" si="33"/>
        <v>2019</v>
      </c>
      <c r="E1057" s="2">
        <v>43506</v>
      </c>
      <c r="F1057" t="s">
        <v>20</v>
      </c>
      <c r="G1057" t="s">
        <v>5092</v>
      </c>
      <c r="H1057" t="s">
        <v>856</v>
      </c>
      <c r="I1057" t="s">
        <v>35</v>
      </c>
      <c r="J1057" t="s">
        <v>24</v>
      </c>
      <c r="K1057" t="s">
        <v>73</v>
      </c>
      <c r="L1057" t="s">
        <v>26</v>
      </c>
      <c r="M1057" t="s">
        <v>83</v>
      </c>
      <c r="N1057" t="s">
        <v>5093</v>
      </c>
      <c r="O1057" t="s">
        <v>48</v>
      </c>
      <c r="P1057" t="s">
        <v>76</v>
      </c>
      <c r="Q1057" t="s">
        <v>5094</v>
      </c>
      <c r="R1057">
        <v>249.25</v>
      </c>
      <c r="S1057">
        <v>1</v>
      </c>
      <c r="T1057">
        <v>0.3</v>
      </c>
      <c r="U1057">
        <v>34.35</v>
      </c>
    </row>
    <row r="1058" spans="1:21" x14ac:dyDescent="0.35">
      <c r="A1058" t="s">
        <v>5095</v>
      </c>
      <c r="B1058" s="2">
        <v>42693</v>
      </c>
      <c r="C1058" s="2" t="str">
        <f t="shared" si="32"/>
        <v>November</v>
      </c>
      <c r="D1058" s="2" t="str">
        <f t="shared" si="33"/>
        <v>2016</v>
      </c>
      <c r="E1058" s="2" t="s">
        <v>6378</v>
      </c>
      <c r="F1058" t="s">
        <v>20</v>
      </c>
      <c r="G1058" t="s">
        <v>5096</v>
      </c>
      <c r="H1058" t="s">
        <v>1872</v>
      </c>
      <c r="I1058" t="s">
        <v>23</v>
      </c>
      <c r="J1058" t="s">
        <v>24</v>
      </c>
      <c r="K1058" t="s">
        <v>36</v>
      </c>
      <c r="L1058" t="s">
        <v>82</v>
      </c>
      <c r="M1058" t="s">
        <v>74</v>
      </c>
      <c r="N1058" t="s">
        <v>5097</v>
      </c>
      <c r="O1058" t="s">
        <v>48</v>
      </c>
      <c r="P1058" t="s">
        <v>76</v>
      </c>
      <c r="Q1058" t="s">
        <v>5098</v>
      </c>
      <c r="R1058">
        <v>1900.12</v>
      </c>
      <c r="S1058">
        <v>7</v>
      </c>
      <c r="T1058">
        <v>0</v>
      </c>
      <c r="U1058">
        <v>524.87</v>
      </c>
    </row>
    <row r="1059" spans="1:21" x14ac:dyDescent="0.35">
      <c r="A1059" t="s">
        <v>5099</v>
      </c>
      <c r="B1059" s="2">
        <v>42558</v>
      </c>
      <c r="C1059" s="2" t="str">
        <f t="shared" si="32"/>
        <v>July</v>
      </c>
      <c r="D1059" s="2" t="str">
        <f t="shared" si="33"/>
        <v>2016</v>
      </c>
      <c r="E1059" s="2" t="s">
        <v>6256</v>
      </c>
      <c r="F1059" t="s">
        <v>20</v>
      </c>
      <c r="G1059" t="s">
        <v>5100</v>
      </c>
      <c r="H1059" t="s">
        <v>5101</v>
      </c>
      <c r="I1059" t="s">
        <v>55</v>
      </c>
      <c r="J1059" t="s">
        <v>24</v>
      </c>
      <c r="K1059" t="s">
        <v>36</v>
      </c>
      <c r="L1059" t="s">
        <v>90</v>
      </c>
      <c r="M1059" t="s">
        <v>27</v>
      </c>
      <c r="N1059" t="s">
        <v>5102</v>
      </c>
      <c r="O1059" t="s">
        <v>67</v>
      </c>
      <c r="P1059" t="s">
        <v>117</v>
      </c>
      <c r="Q1059" t="s">
        <v>5103</v>
      </c>
      <c r="R1059">
        <v>519.01</v>
      </c>
      <c r="S1059">
        <v>6</v>
      </c>
      <c r="T1059">
        <v>0.3</v>
      </c>
      <c r="U1059">
        <v>83.5</v>
      </c>
    </row>
    <row r="1060" spans="1:21" x14ac:dyDescent="0.35">
      <c r="A1060" t="s">
        <v>5104</v>
      </c>
      <c r="B1060" s="2">
        <v>43518</v>
      </c>
      <c r="C1060" s="2" t="str">
        <f t="shared" si="32"/>
        <v>February</v>
      </c>
      <c r="D1060" s="2" t="str">
        <f t="shared" si="33"/>
        <v>2019</v>
      </c>
      <c r="E1060" s="2">
        <v>43499</v>
      </c>
      <c r="F1060" t="s">
        <v>42</v>
      </c>
      <c r="G1060" t="s">
        <v>5105</v>
      </c>
      <c r="H1060" t="s">
        <v>5106</v>
      </c>
      <c r="I1060" t="s">
        <v>35</v>
      </c>
      <c r="J1060" t="s">
        <v>24</v>
      </c>
      <c r="K1060" t="s">
        <v>81</v>
      </c>
      <c r="L1060" t="s">
        <v>115</v>
      </c>
      <c r="M1060" t="s">
        <v>57</v>
      </c>
      <c r="N1060" t="s">
        <v>5107</v>
      </c>
      <c r="O1060" t="s">
        <v>48</v>
      </c>
      <c r="P1060" t="s">
        <v>49</v>
      </c>
      <c r="Q1060" t="s">
        <v>5108</v>
      </c>
      <c r="R1060">
        <v>854.68</v>
      </c>
      <c r="S1060">
        <v>9</v>
      </c>
      <c r="T1060">
        <v>0.1</v>
      </c>
      <c r="U1060">
        <v>-218.31</v>
      </c>
    </row>
    <row r="1061" spans="1:21" x14ac:dyDescent="0.35">
      <c r="A1061" t="s">
        <v>5109</v>
      </c>
      <c r="B1061" s="2">
        <v>43398</v>
      </c>
      <c r="C1061" s="2" t="str">
        <f t="shared" si="32"/>
        <v>October</v>
      </c>
      <c r="D1061" s="2" t="str">
        <f t="shared" si="33"/>
        <v>2018</v>
      </c>
      <c r="E1061" s="2" t="s">
        <v>6329</v>
      </c>
      <c r="F1061" t="s">
        <v>20</v>
      </c>
      <c r="G1061" t="s">
        <v>5110</v>
      </c>
      <c r="H1061" t="s">
        <v>5111</v>
      </c>
      <c r="I1061" t="s">
        <v>23</v>
      </c>
      <c r="J1061" t="s">
        <v>24</v>
      </c>
      <c r="K1061" t="s">
        <v>133</v>
      </c>
      <c r="L1061" t="s">
        <v>36</v>
      </c>
      <c r="M1061" t="s">
        <v>74</v>
      </c>
      <c r="N1061" t="s">
        <v>5112</v>
      </c>
      <c r="O1061" t="s">
        <v>48</v>
      </c>
      <c r="P1061" t="s">
        <v>76</v>
      </c>
      <c r="Q1061" t="s">
        <v>2985</v>
      </c>
      <c r="R1061">
        <v>1514.17</v>
      </c>
      <c r="S1061">
        <v>8</v>
      </c>
      <c r="T1061">
        <v>0</v>
      </c>
      <c r="U1061">
        <v>-285.45999999999998</v>
      </c>
    </row>
    <row r="1062" spans="1:21" x14ac:dyDescent="0.35">
      <c r="A1062" t="s">
        <v>5113</v>
      </c>
      <c r="B1062" s="2">
        <v>42706</v>
      </c>
      <c r="C1062" s="2" t="str">
        <f t="shared" si="32"/>
        <v>December</v>
      </c>
      <c r="D1062" s="2" t="str">
        <f t="shared" si="33"/>
        <v>2016</v>
      </c>
      <c r="E1062" s="2">
        <v>42625</v>
      </c>
      <c r="F1062" t="s">
        <v>52</v>
      </c>
      <c r="G1062" t="s">
        <v>5114</v>
      </c>
      <c r="H1062" t="s">
        <v>4806</v>
      </c>
      <c r="I1062" t="s">
        <v>35</v>
      </c>
      <c r="J1062" t="s">
        <v>24</v>
      </c>
      <c r="K1062" t="s">
        <v>73</v>
      </c>
      <c r="L1062" t="s">
        <v>56</v>
      </c>
      <c r="M1062" t="s">
        <v>27</v>
      </c>
      <c r="N1062" t="s">
        <v>5115</v>
      </c>
      <c r="O1062" t="s">
        <v>29</v>
      </c>
      <c r="P1062" t="s">
        <v>155</v>
      </c>
      <c r="Q1062" t="s">
        <v>5116</v>
      </c>
      <c r="R1062">
        <v>325.58999999999997</v>
      </c>
      <c r="S1062">
        <v>5</v>
      </c>
      <c r="T1062">
        <v>0</v>
      </c>
      <c r="U1062">
        <v>-54.92</v>
      </c>
    </row>
    <row r="1063" spans="1:21" x14ac:dyDescent="0.35">
      <c r="A1063" t="s">
        <v>5117</v>
      </c>
      <c r="B1063" s="2">
        <v>43829</v>
      </c>
      <c r="C1063" s="2" t="str">
        <f t="shared" si="32"/>
        <v>December</v>
      </c>
      <c r="D1063" s="2" t="str">
        <f t="shared" si="33"/>
        <v>2019</v>
      </c>
      <c r="E1063" s="2">
        <v>44013</v>
      </c>
      <c r="F1063" t="s">
        <v>52</v>
      </c>
      <c r="G1063" t="s">
        <v>5118</v>
      </c>
      <c r="H1063" t="s">
        <v>5119</v>
      </c>
      <c r="I1063" t="s">
        <v>35</v>
      </c>
      <c r="J1063" t="s">
        <v>24</v>
      </c>
      <c r="K1063" t="s">
        <v>133</v>
      </c>
      <c r="L1063" t="s">
        <v>26</v>
      </c>
      <c r="M1063" t="s">
        <v>83</v>
      </c>
      <c r="N1063" t="s">
        <v>5120</v>
      </c>
      <c r="O1063" t="s">
        <v>48</v>
      </c>
      <c r="P1063" t="s">
        <v>76</v>
      </c>
      <c r="Q1063" t="s">
        <v>5121</v>
      </c>
      <c r="R1063">
        <v>1012.85</v>
      </c>
      <c r="S1063">
        <v>1</v>
      </c>
      <c r="T1063">
        <v>0</v>
      </c>
      <c r="U1063">
        <v>-64.42</v>
      </c>
    </row>
    <row r="1064" spans="1:21" x14ac:dyDescent="0.35">
      <c r="A1064" t="s">
        <v>5122</v>
      </c>
      <c r="B1064" s="2">
        <v>43815</v>
      </c>
      <c r="C1064" s="2" t="str">
        <f t="shared" si="32"/>
        <v>December</v>
      </c>
      <c r="D1064" s="2" t="str">
        <f t="shared" si="33"/>
        <v>2019</v>
      </c>
      <c r="E1064" s="2" t="s">
        <v>6379</v>
      </c>
      <c r="F1064" t="s">
        <v>20</v>
      </c>
      <c r="G1064" t="s">
        <v>5123</v>
      </c>
      <c r="H1064" t="s">
        <v>5124</v>
      </c>
      <c r="I1064" t="s">
        <v>35</v>
      </c>
      <c r="J1064" t="s">
        <v>24</v>
      </c>
      <c r="K1064" t="s">
        <v>89</v>
      </c>
      <c r="L1064" t="s">
        <v>37</v>
      </c>
      <c r="M1064" t="s">
        <v>74</v>
      </c>
      <c r="N1064" t="s">
        <v>5125</v>
      </c>
      <c r="O1064" t="s">
        <v>48</v>
      </c>
      <c r="P1064" t="s">
        <v>49</v>
      </c>
      <c r="Q1064" t="s">
        <v>5126</v>
      </c>
      <c r="R1064">
        <v>1260.42</v>
      </c>
      <c r="S1064">
        <v>9</v>
      </c>
      <c r="T1064">
        <v>0</v>
      </c>
      <c r="U1064">
        <v>-183.22</v>
      </c>
    </row>
    <row r="1065" spans="1:21" x14ac:dyDescent="0.35">
      <c r="A1065" t="s">
        <v>5127</v>
      </c>
      <c r="B1065" s="2">
        <v>43129</v>
      </c>
      <c r="C1065" s="2" t="str">
        <f t="shared" si="32"/>
        <v>January</v>
      </c>
      <c r="D1065" s="2" t="str">
        <f t="shared" si="33"/>
        <v>2018</v>
      </c>
      <c r="E1065" s="2">
        <v>43222</v>
      </c>
      <c r="F1065" t="s">
        <v>62</v>
      </c>
      <c r="G1065" t="s">
        <v>5128</v>
      </c>
      <c r="H1065" t="s">
        <v>5129</v>
      </c>
      <c r="I1065" t="s">
        <v>35</v>
      </c>
      <c r="J1065" t="s">
        <v>24</v>
      </c>
      <c r="K1065" t="s">
        <v>81</v>
      </c>
      <c r="L1065" t="s">
        <v>170</v>
      </c>
      <c r="M1065" t="s">
        <v>27</v>
      </c>
      <c r="N1065" t="s">
        <v>5130</v>
      </c>
      <c r="O1065" t="s">
        <v>48</v>
      </c>
      <c r="P1065" t="s">
        <v>49</v>
      </c>
      <c r="Q1065" t="s">
        <v>5131</v>
      </c>
      <c r="R1065">
        <v>782.63</v>
      </c>
      <c r="S1065">
        <v>7</v>
      </c>
      <c r="T1065">
        <v>0.4</v>
      </c>
      <c r="U1065">
        <v>272.07</v>
      </c>
    </row>
    <row r="1066" spans="1:21" x14ac:dyDescent="0.35">
      <c r="A1066" t="s">
        <v>5132</v>
      </c>
      <c r="B1066" s="2">
        <v>42532</v>
      </c>
      <c r="C1066" s="2" t="str">
        <f t="shared" si="32"/>
        <v>June</v>
      </c>
      <c r="D1066" s="2" t="str">
        <f t="shared" si="33"/>
        <v>2016</v>
      </c>
      <c r="E1066" s="2" t="s">
        <v>5925</v>
      </c>
      <c r="F1066" t="s">
        <v>52</v>
      </c>
      <c r="G1066" t="s">
        <v>5133</v>
      </c>
      <c r="H1066" t="s">
        <v>3497</v>
      </c>
      <c r="I1066" t="s">
        <v>23</v>
      </c>
      <c r="J1066" t="s">
        <v>24</v>
      </c>
      <c r="K1066" t="s">
        <v>133</v>
      </c>
      <c r="L1066" t="s">
        <v>65</v>
      </c>
      <c r="M1066" t="s">
        <v>57</v>
      </c>
      <c r="N1066" t="s">
        <v>5134</v>
      </c>
      <c r="O1066" t="s">
        <v>29</v>
      </c>
      <c r="P1066" t="s">
        <v>30</v>
      </c>
      <c r="Q1066" t="s">
        <v>5135</v>
      </c>
      <c r="R1066">
        <v>271.79000000000002</v>
      </c>
      <c r="S1066">
        <v>1</v>
      </c>
      <c r="T1066">
        <v>0</v>
      </c>
      <c r="U1066">
        <v>108.85</v>
      </c>
    </row>
    <row r="1067" spans="1:21" x14ac:dyDescent="0.35">
      <c r="A1067" t="s">
        <v>5136</v>
      </c>
      <c r="B1067" s="2">
        <v>43653</v>
      </c>
      <c r="C1067" s="2" t="str">
        <f t="shared" si="32"/>
        <v>July</v>
      </c>
      <c r="D1067" s="2" t="str">
        <f t="shared" si="33"/>
        <v>2019</v>
      </c>
      <c r="E1067" s="2" t="s">
        <v>6010</v>
      </c>
      <c r="F1067" t="s">
        <v>42</v>
      </c>
      <c r="G1067" t="s">
        <v>5137</v>
      </c>
      <c r="H1067" t="s">
        <v>5138</v>
      </c>
      <c r="I1067" t="s">
        <v>55</v>
      </c>
      <c r="J1067" t="s">
        <v>24</v>
      </c>
      <c r="K1067" t="s">
        <v>81</v>
      </c>
      <c r="L1067" t="s">
        <v>36</v>
      </c>
      <c r="M1067" t="s">
        <v>27</v>
      </c>
      <c r="N1067" t="s">
        <v>5139</v>
      </c>
      <c r="O1067" t="s">
        <v>67</v>
      </c>
      <c r="P1067" t="s">
        <v>197</v>
      </c>
      <c r="Q1067" t="s">
        <v>5140</v>
      </c>
      <c r="R1067">
        <v>899.71</v>
      </c>
      <c r="S1067">
        <v>6</v>
      </c>
      <c r="T1067">
        <v>0.3</v>
      </c>
      <c r="U1067">
        <v>-212.23</v>
      </c>
    </row>
    <row r="1068" spans="1:21" x14ac:dyDescent="0.35">
      <c r="A1068" t="s">
        <v>5141</v>
      </c>
      <c r="B1068" s="2">
        <v>42385</v>
      </c>
      <c r="C1068" s="2" t="str">
        <f t="shared" si="32"/>
        <v>January</v>
      </c>
      <c r="D1068" s="2" t="str">
        <f t="shared" si="33"/>
        <v>2016</v>
      </c>
      <c r="E1068" s="2" t="s">
        <v>6284</v>
      </c>
      <c r="F1068" t="s">
        <v>62</v>
      </c>
      <c r="G1068" t="s">
        <v>5142</v>
      </c>
      <c r="H1068" t="s">
        <v>5143</v>
      </c>
      <c r="I1068" t="s">
        <v>35</v>
      </c>
      <c r="J1068" t="s">
        <v>24</v>
      </c>
      <c r="K1068" t="s">
        <v>36</v>
      </c>
      <c r="L1068" t="s">
        <v>115</v>
      </c>
      <c r="M1068" t="s">
        <v>27</v>
      </c>
      <c r="N1068" t="s">
        <v>5144</v>
      </c>
      <c r="O1068" t="s">
        <v>67</v>
      </c>
      <c r="P1068" t="s">
        <v>92</v>
      </c>
      <c r="Q1068" t="s">
        <v>5145</v>
      </c>
      <c r="R1068">
        <v>1532.2</v>
      </c>
      <c r="S1068">
        <v>1</v>
      </c>
      <c r="T1068">
        <v>0.4</v>
      </c>
      <c r="U1068">
        <v>580.76</v>
      </c>
    </row>
    <row r="1069" spans="1:21" x14ac:dyDescent="0.35">
      <c r="A1069" t="s">
        <v>5146</v>
      </c>
      <c r="B1069" s="2">
        <v>42823</v>
      </c>
      <c r="C1069" s="2" t="str">
        <f t="shared" si="32"/>
        <v>March</v>
      </c>
      <c r="D1069" s="2" t="str">
        <f t="shared" si="33"/>
        <v>2017</v>
      </c>
      <c r="E1069" s="2">
        <v>42920</v>
      </c>
      <c r="F1069" t="s">
        <v>62</v>
      </c>
      <c r="G1069" t="s">
        <v>5147</v>
      </c>
      <c r="H1069" t="s">
        <v>5148</v>
      </c>
      <c r="I1069" t="s">
        <v>23</v>
      </c>
      <c r="J1069" t="s">
        <v>24</v>
      </c>
      <c r="K1069" t="s">
        <v>36</v>
      </c>
      <c r="L1069" t="s">
        <v>82</v>
      </c>
      <c r="M1069" t="s">
        <v>57</v>
      </c>
      <c r="N1069" t="s">
        <v>5149</v>
      </c>
      <c r="O1069" t="s">
        <v>67</v>
      </c>
      <c r="P1069" t="s">
        <v>68</v>
      </c>
      <c r="Q1069" t="s">
        <v>5150</v>
      </c>
      <c r="R1069">
        <v>910.11</v>
      </c>
      <c r="S1069">
        <v>3</v>
      </c>
      <c r="T1069">
        <v>0.4</v>
      </c>
      <c r="U1069">
        <v>49.9</v>
      </c>
    </row>
    <row r="1070" spans="1:21" x14ac:dyDescent="0.35">
      <c r="A1070" t="s">
        <v>5151</v>
      </c>
      <c r="B1070" s="2">
        <v>43115</v>
      </c>
      <c r="C1070" s="2" t="str">
        <f t="shared" si="32"/>
        <v>January</v>
      </c>
      <c r="D1070" s="2" t="str">
        <f t="shared" si="33"/>
        <v>2018</v>
      </c>
      <c r="E1070" s="2" t="s">
        <v>6107</v>
      </c>
      <c r="F1070" t="s">
        <v>20</v>
      </c>
      <c r="G1070" t="s">
        <v>5152</v>
      </c>
      <c r="H1070" t="s">
        <v>576</v>
      </c>
      <c r="I1070" t="s">
        <v>35</v>
      </c>
      <c r="J1070" t="s">
        <v>24</v>
      </c>
      <c r="K1070" t="s">
        <v>73</v>
      </c>
      <c r="L1070" t="s">
        <v>37</v>
      </c>
      <c r="M1070" t="s">
        <v>83</v>
      </c>
      <c r="N1070" t="s">
        <v>5153</v>
      </c>
      <c r="O1070" t="s">
        <v>48</v>
      </c>
      <c r="P1070" t="s">
        <v>49</v>
      </c>
      <c r="Q1070" t="s">
        <v>5154</v>
      </c>
      <c r="R1070">
        <v>1252.33</v>
      </c>
      <c r="S1070">
        <v>6</v>
      </c>
      <c r="T1070">
        <v>0.2</v>
      </c>
      <c r="U1070">
        <v>535.4</v>
      </c>
    </row>
    <row r="1071" spans="1:21" x14ac:dyDescent="0.35">
      <c r="A1071" t="s">
        <v>5155</v>
      </c>
      <c r="B1071" s="2">
        <v>43037</v>
      </c>
      <c r="C1071" s="2" t="str">
        <f t="shared" si="32"/>
        <v>October</v>
      </c>
      <c r="D1071" s="2" t="str">
        <f t="shared" si="33"/>
        <v>2017</v>
      </c>
      <c r="E1071" s="2">
        <v>42897</v>
      </c>
      <c r="F1071" t="s">
        <v>20</v>
      </c>
      <c r="G1071" t="s">
        <v>5156</v>
      </c>
      <c r="H1071" t="s">
        <v>5157</v>
      </c>
      <c r="I1071" t="s">
        <v>35</v>
      </c>
      <c r="J1071" t="s">
        <v>24</v>
      </c>
      <c r="K1071" t="s">
        <v>133</v>
      </c>
      <c r="L1071" t="s">
        <v>46</v>
      </c>
      <c r="M1071" t="s">
        <v>83</v>
      </c>
      <c r="N1071" t="s">
        <v>5158</v>
      </c>
      <c r="O1071" t="s">
        <v>67</v>
      </c>
      <c r="P1071" t="s">
        <v>92</v>
      </c>
      <c r="Q1071" t="s">
        <v>1517</v>
      </c>
      <c r="R1071">
        <v>783.3</v>
      </c>
      <c r="S1071">
        <v>2</v>
      </c>
      <c r="T1071">
        <v>0.1</v>
      </c>
      <c r="U1071">
        <v>-11.33</v>
      </c>
    </row>
    <row r="1072" spans="1:21" x14ac:dyDescent="0.35">
      <c r="A1072" t="s">
        <v>5159</v>
      </c>
      <c r="B1072" s="2">
        <v>43047</v>
      </c>
      <c r="C1072" s="2" t="str">
        <f t="shared" si="32"/>
        <v>November</v>
      </c>
      <c r="D1072" s="2" t="str">
        <f t="shared" si="33"/>
        <v>2017</v>
      </c>
      <c r="E1072" s="2" t="s">
        <v>6096</v>
      </c>
      <c r="F1072" t="s">
        <v>62</v>
      </c>
      <c r="G1072" t="s">
        <v>5160</v>
      </c>
      <c r="H1072" t="s">
        <v>5161</v>
      </c>
      <c r="I1072" t="s">
        <v>35</v>
      </c>
      <c r="J1072" t="s">
        <v>24</v>
      </c>
      <c r="K1072" t="s">
        <v>212</v>
      </c>
      <c r="L1072" t="s">
        <v>90</v>
      </c>
      <c r="M1072" t="s">
        <v>74</v>
      </c>
      <c r="N1072" t="s">
        <v>5162</v>
      </c>
      <c r="O1072" t="s">
        <v>48</v>
      </c>
      <c r="P1072" t="s">
        <v>128</v>
      </c>
      <c r="Q1072" t="s">
        <v>2318</v>
      </c>
      <c r="R1072">
        <v>1936.08</v>
      </c>
      <c r="S1072">
        <v>6</v>
      </c>
      <c r="T1072">
        <v>0.4</v>
      </c>
      <c r="U1072">
        <v>-72.62</v>
      </c>
    </row>
    <row r="1073" spans="1:21" x14ac:dyDescent="0.35">
      <c r="A1073" t="s">
        <v>5163</v>
      </c>
      <c r="B1073" s="2">
        <v>42841</v>
      </c>
      <c r="C1073" s="2" t="str">
        <f t="shared" si="32"/>
        <v>April</v>
      </c>
      <c r="D1073" s="2" t="str">
        <f t="shared" si="33"/>
        <v>2017</v>
      </c>
      <c r="E1073" s="2" t="s">
        <v>6370</v>
      </c>
      <c r="F1073" t="s">
        <v>62</v>
      </c>
      <c r="G1073" t="s">
        <v>5164</v>
      </c>
      <c r="H1073" t="s">
        <v>5165</v>
      </c>
      <c r="I1073" t="s">
        <v>55</v>
      </c>
      <c r="J1073" t="s">
        <v>24</v>
      </c>
      <c r="K1073" t="s">
        <v>133</v>
      </c>
      <c r="L1073" t="s">
        <v>90</v>
      </c>
      <c r="M1073" t="s">
        <v>74</v>
      </c>
      <c r="N1073" t="s">
        <v>5166</v>
      </c>
      <c r="O1073" t="s">
        <v>67</v>
      </c>
      <c r="P1073" t="s">
        <v>197</v>
      </c>
      <c r="Q1073" t="s">
        <v>5167</v>
      </c>
      <c r="R1073">
        <v>669.31</v>
      </c>
      <c r="S1073">
        <v>4</v>
      </c>
      <c r="T1073">
        <v>0</v>
      </c>
      <c r="U1073">
        <v>-110.92</v>
      </c>
    </row>
    <row r="1074" spans="1:21" x14ac:dyDescent="0.35">
      <c r="A1074" t="s">
        <v>5168</v>
      </c>
      <c r="B1074" s="2">
        <v>43684</v>
      </c>
      <c r="C1074" s="2" t="str">
        <f t="shared" si="32"/>
        <v>August</v>
      </c>
      <c r="D1074" s="2" t="str">
        <f t="shared" si="33"/>
        <v>2019</v>
      </c>
      <c r="E1074" s="2">
        <v>43777</v>
      </c>
      <c r="F1074" t="s">
        <v>20</v>
      </c>
      <c r="G1074" t="s">
        <v>5169</v>
      </c>
      <c r="H1074" t="s">
        <v>343</v>
      </c>
      <c r="I1074" t="s">
        <v>35</v>
      </c>
      <c r="J1074" t="s">
        <v>24</v>
      </c>
      <c r="K1074" t="s">
        <v>73</v>
      </c>
      <c r="L1074" t="s">
        <v>36</v>
      </c>
      <c r="M1074" t="s">
        <v>57</v>
      </c>
      <c r="N1074" t="s">
        <v>5170</v>
      </c>
      <c r="O1074" t="s">
        <v>29</v>
      </c>
      <c r="P1074" t="s">
        <v>39</v>
      </c>
      <c r="Q1074" t="s">
        <v>5171</v>
      </c>
      <c r="R1074">
        <v>404.19</v>
      </c>
      <c r="S1074">
        <v>2</v>
      </c>
      <c r="T1074">
        <v>0.4</v>
      </c>
      <c r="U1074">
        <v>194.66</v>
      </c>
    </row>
    <row r="1075" spans="1:21" x14ac:dyDescent="0.35">
      <c r="A1075" t="s">
        <v>5172</v>
      </c>
      <c r="B1075" s="2">
        <v>43619</v>
      </c>
      <c r="C1075" s="2" t="str">
        <f t="shared" si="32"/>
        <v>June</v>
      </c>
      <c r="D1075" s="2" t="str">
        <f t="shared" si="33"/>
        <v>2019</v>
      </c>
      <c r="E1075" s="2">
        <v>43714</v>
      </c>
      <c r="F1075" t="s">
        <v>20</v>
      </c>
      <c r="G1075" t="s">
        <v>5173</v>
      </c>
      <c r="H1075" t="s">
        <v>5174</v>
      </c>
      <c r="I1075" t="s">
        <v>23</v>
      </c>
      <c r="J1075" t="s">
        <v>24</v>
      </c>
      <c r="K1075" t="s">
        <v>45</v>
      </c>
      <c r="L1075" t="s">
        <v>115</v>
      </c>
      <c r="M1075" t="s">
        <v>57</v>
      </c>
      <c r="N1075" t="s">
        <v>5175</v>
      </c>
      <c r="O1075" t="s">
        <v>29</v>
      </c>
      <c r="P1075" t="s">
        <v>39</v>
      </c>
      <c r="Q1075" t="s">
        <v>5176</v>
      </c>
      <c r="R1075">
        <v>902.69</v>
      </c>
      <c r="S1075">
        <v>9</v>
      </c>
      <c r="T1075">
        <v>0.3</v>
      </c>
      <c r="U1075">
        <v>-42</v>
      </c>
    </row>
    <row r="1076" spans="1:21" x14ac:dyDescent="0.35">
      <c r="A1076" t="s">
        <v>5177</v>
      </c>
      <c r="B1076" s="2">
        <v>42722</v>
      </c>
      <c r="C1076" s="2" t="str">
        <f t="shared" si="32"/>
        <v>December</v>
      </c>
      <c r="D1076" s="2" t="str">
        <f t="shared" si="33"/>
        <v>2016</v>
      </c>
      <c r="E1076" s="2" t="s">
        <v>6246</v>
      </c>
      <c r="F1076" t="s">
        <v>52</v>
      </c>
      <c r="G1076" t="s">
        <v>5178</v>
      </c>
      <c r="H1076" t="s">
        <v>5179</v>
      </c>
      <c r="I1076" t="s">
        <v>35</v>
      </c>
      <c r="J1076" t="s">
        <v>24</v>
      </c>
      <c r="K1076" t="s">
        <v>36</v>
      </c>
      <c r="L1076" t="s">
        <v>56</v>
      </c>
      <c r="M1076" t="s">
        <v>57</v>
      </c>
      <c r="N1076" t="s">
        <v>5180</v>
      </c>
      <c r="O1076" t="s">
        <v>48</v>
      </c>
      <c r="P1076" t="s">
        <v>128</v>
      </c>
      <c r="Q1076" t="s">
        <v>5181</v>
      </c>
      <c r="R1076">
        <v>288.8</v>
      </c>
      <c r="S1076">
        <v>3</v>
      </c>
      <c r="T1076">
        <v>0.3</v>
      </c>
      <c r="U1076">
        <v>-28.55</v>
      </c>
    </row>
    <row r="1077" spans="1:21" x14ac:dyDescent="0.35">
      <c r="A1077" t="s">
        <v>5182</v>
      </c>
      <c r="B1077" s="2">
        <v>43279</v>
      </c>
      <c r="C1077" s="2" t="str">
        <f t="shared" si="32"/>
        <v>June</v>
      </c>
      <c r="D1077" s="2" t="str">
        <f t="shared" si="33"/>
        <v>2018</v>
      </c>
      <c r="E1077" s="2" t="s">
        <v>6040</v>
      </c>
      <c r="F1077" t="s">
        <v>20</v>
      </c>
      <c r="G1077" t="s">
        <v>5183</v>
      </c>
      <c r="H1077" t="s">
        <v>5184</v>
      </c>
      <c r="I1077" t="s">
        <v>23</v>
      </c>
      <c r="J1077" t="s">
        <v>24</v>
      </c>
      <c r="K1077" t="s">
        <v>25</v>
      </c>
      <c r="L1077" t="s">
        <v>56</v>
      </c>
      <c r="M1077" t="s">
        <v>27</v>
      </c>
      <c r="N1077" t="s">
        <v>5185</v>
      </c>
      <c r="O1077" t="s">
        <v>48</v>
      </c>
      <c r="P1077" t="s">
        <v>49</v>
      </c>
      <c r="Q1077" t="s">
        <v>5186</v>
      </c>
      <c r="R1077">
        <v>1398.12</v>
      </c>
      <c r="S1077">
        <v>2</v>
      </c>
      <c r="T1077">
        <v>0</v>
      </c>
      <c r="U1077">
        <v>-339.97</v>
      </c>
    </row>
    <row r="1078" spans="1:21" x14ac:dyDescent="0.35">
      <c r="A1078" t="s">
        <v>5187</v>
      </c>
      <c r="B1078" s="2">
        <v>43005</v>
      </c>
      <c r="C1078" s="2" t="str">
        <f t="shared" si="32"/>
        <v>September</v>
      </c>
      <c r="D1078" s="2" t="str">
        <f t="shared" si="33"/>
        <v>2017</v>
      </c>
      <c r="E1078" s="2">
        <v>42804</v>
      </c>
      <c r="F1078" t="s">
        <v>42</v>
      </c>
      <c r="G1078" t="s">
        <v>5188</v>
      </c>
      <c r="H1078" t="s">
        <v>4639</v>
      </c>
      <c r="I1078" t="s">
        <v>55</v>
      </c>
      <c r="J1078" t="s">
        <v>24</v>
      </c>
      <c r="K1078" t="s">
        <v>103</v>
      </c>
      <c r="L1078" t="s">
        <v>26</v>
      </c>
      <c r="M1078" t="s">
        <v>27</v>
      </c>
      <c r="N1078" t="s">
        <v>5189</v>
      </c>
      <c r="O1078" t="s">
        <v>48</v>
      </c>
      <c r="P1078" t="s">
        <v>49</v>
      </c>
      <c r="Q1078" t="s">
        <v>5190</v>
      </c>
      <c r="R1078">
        <v>614.61</v>
      </c>
      <c r="S1078">
        <v>5</v>
      </c>
      <c r="T1078">
        <v>0.3</v>
      </c>
      <c r="U1078">
        <v>-103.38</v>
      </c>
    </row>
    <row r="1079" spans="1:21" x14ac:dyDescent="0.35">
      <c r="A1079" t="s">
        <v>5191</v>
      </c>
      <c r="B1079" s="2">
        <v>42498</v>
      </c>
      <c r="C1079" s="2" t="str">
        <f t="shared" si="32"/>
        <v>May</v>
      </c>
      <c r="D1079" s="2" t="str">
        <f t="shared" si="33"/>
        <v>2016</v>
      </c>
      <c r="E1079" s="2" t="s">
        <v>6148</v>
      </c>
      <c r="F1079" t="s">
        <v>42</v>
      </c>
      <c r="G1079" t="s">
        <v>5192</v>
      </c>
      <c r="H1079" t="s">
        <v>5193</v>
      </c>
      <c r="I1079" t="s">
        <v>55</v>
      </c>
      <c r="J1079" t="s">
        <v>24</v>
      </c>
      <c r="K1079" t="s">
        <v>45</v>
      </c>
      <c r="L1079" t="s">
        <v>115</v>
      </c>
      <c r="M1079" t="s">
        <v>27</v>
      </c>
      <c r="N1079" t="s">
        <v>5194</v>
      </c>
      <c r="O1079" t="s">
        <v>29</v>
      </c>
      <c r="P1079" t="s">
        <v>39</v>
      </c>
      <c r="Q1079" t="s">
        <v>5195</v>
      </c>
      <c r="R1079">
        <v>732.87</v>
      </c>
      <c r="S1079">
        <v>4</v>
      </c>
      <c r="T1079">
        <v>0</v>
      </c>
      <c r="U1079">
        <v>-33.159999999999997</v>
      </c>
    </row>
    <row r="1080" spans="1:21" x14ac:dyDescent="0.35">
      <c r="A1080" t="s">
        <v>5196</v>
      </c>
      <c r="B1080" s="2">
        <v>43482</v>
      </c>
      <c r="C1080" s="2" t="str">
        <f t="shared" si="32"/>
        <v>January</v>
      </c>
      <c r="D1080" s="2" t="str">
        <f t="shared" si="33"/>
        <v>2019</v>
      </c>
      <c r="E1080" s="2" t="s">
        <v>6165</v>
      </c>
      <c r="F1080" t="s">
        <v>20</v>
      </c>
      <c r="G1080" t="s">
        <v>5197</v>
      </c>
      <c r="H1080" t="s">
        <v>3006</v>
      </c>
      <c r="I1080" t="s">
        <v>35</v>
      </c>
      <c r="J1080" t="s">
        <v>24</v>
      </c>
      <c r="K1080" t="s">
        <v>36</v>
      </c>
      <c r="L1080" t="s">
        <v>46</v>
      </c>
      <c r="M1080" t="s">
        <v>74</v>
      </c>
      <c r="N1080" t="s">
        <v>5198</v>
      </c>
      <c r="O1080" t="s">
        <v>67</v>
      </c>
      <c r="P1080" t="s">
        <v>229</v>
      </c>
      <c r="Q1080" t="s">
        <v>5199</v>
      </c>
      <c r="R1080">
        <v>80.069999999999993</v>
      </c>
      <c r="S1080">
        <v>4</v>
      </c>
      <c r="T1080">
        <v>0</v>
      </c>
      <c r="U1080">
        <v>28.47</v>
      </c>
    </row>
    <row r="1081" spans="1:21" x14ac:dyDescent="0.35">
      <c r="A1081" t="s">
        <v>5200</v>
      </c>
      <c r="B1081" s="2">
        <v>43151</v>
      </c>
      <c r="C1081" s="2" t="str">
        <f t="shared" si="32"/>
        <v>February</v>
      </c>
      <c r="D1081" s="2" t="str">
        <f t="shared" si="33"/>
        <v>2018</v>
      </c>
      <c r="E1081" s="2" t="s">
        <v>6078</v>
      </c>
      <c r="F1081" t="s">
        <v>62</v>
      </c>
      <c r="G1081" t="s">
        <v>5201</v>
      </c>
      <c r="H1081" t="s">
        <v>5202</v>
      </c>
      <c r="I1081" t="s">
        <v>55</v>
      </c>
      <c r="J1081" t="s">
        <v>24</v>
      </c>
      <c r="K1081" t="s">
        <v>25</v>
      </c>
      <c r="L1081" t="s">
        <v>90</v>
      </c>
      <c r="M1081" t="s">
        <v>74</v>
      </c>
      <c r="N1081" t="s">
        <v>5203</v>
      </c>
      <c r="O1081" t="s">
        <v>48</v>
      </c>
      <c r="P1081" t="s">
        <v>59</v>
      </c>
      <c r="Q1081" t="s">
        <v>5204</v>
      </c>
      <c r="R1081">
        <v>1942.35</v>
      </c>
      <c r="S1081">
        <v>5</v>
      </c>
      <c r="T1081">
        <v>0</v>
      </c>
      <c r="U1081">
        <v>933.26</v>
      </c>
    </row>
    <row r="1082" spans="1:21" x14ac:dyDescent="0.35">
      <c r="A1082" t="s">
        <v>5205</v>
      </c>
      <c r="B1082" s="2">
        <v>43066</v>
      </c>
      <c r="C1082" s="2" t="str">
        <f t="shared" si="32"/>
        <v>November</v>
      </c>
      <c r="D1082" s="2" t="str">
        <f t="shared" si="33"/>
        <v>2017</v>
      </c>
      <c r="E1082" s="2">
        <v>42778</v>
      </c>
      <c r="F1082" t="s">
        <v>20</v>
      </c>
      <c r="G1082" t="s">
        <v>5206</v>
      </c>
      <c r="H1082" t="s">
        <v>5207</v>
      </c>
      <c r="I1082" t="s">
        <v>55</v>
      </c>
      <c r="J1082" t="s">
        <v>24</v>
      </c>
      <c r="K1082" t="s">
        <v>89</v>
      </c>
      <c r="L1082" t="s">
        <v>90</v>
      </c>
      <c r="M1082" t="s">
        <v>27</v>
      </c>
      <c r="N1082" t="s">
        <v>5208</v>
      </c>
      <c r="O1082" t="s">
        <v>29</v>
      </c>
      <c r="P1082" t="s">
        <v>30</v>
      </c>
      <c r="Q1082" t="s">
        <v>5209</v>
      </c>
      <c r="R1082">
        <v>580.12</v>
      </c>
      <c r="S1082">
        <v>9</v>
      </c>
      <c r="T1082">
        <v>0.1</v>
      </c>
      <c r="U1082">
        <v>-124.49</v>
      </c>
    </row>
    <row r="1083" spans="1:21" x14ac:dyDescent="0.35">
      <c r="A1083" t="s">
        <v>5210</v>
      </c>
      <c r="B1083" s="2">
        <v>42703</v>
      </c>
      <c r="C1083" s="2" t="str">
        <f t="shared" si="32"/>
        <v>November</v>
      </c>
      <c r="D1083" s="2" t="str">
        <f t="shared" si="33"/>
        <v>2016</v>
      </c>
      <c r="E1083" s="2" t="s">
        <v>6369</v>
      </c>
      <c r="F1083" t="s">
        <v>52</v>
      </c>
      <c r="G1083" t="s">
        <v>5211</v>
      </c>
      <c r="H1083" t="s">
        <v>5212</v>
      </c>
      <c r="I1083" t="s">
        <v>55</v>
      </c>
      <c r="J1083" t="s">
        <v>24</v>
      </c>
      <c r="K1083" t="s">
        <v>36</v>
      </c>
      <c r="L1083" t="s">
        <v>37</v>
      </c>
      <c r="M1083" t="s">
        <v>83</v>
      </c>
      <c r="N1083" t="s">
        <v>5213</v>
      </c>
      <c r="O1083" t="s">
        <v>48</v>
      </c>
      <c r="P1083" t="s">
        <v>49</v>
      </c>
      <c r="Q1083" t="s">
        <v>5214</v>
      </c>
      <c r="R1083">
        <v>723.51</v>
      </c>
      <c r="S1083">
        <v>3</v>
      </c>
      <c r="T1083">
        <v>0.1</v>
      </c>
      <c r="U1083">
        <v>-164.8</v>
      </c>
    </row>
    <row r="1084" spans="1:21" x14ac:dyDescent="0.35">
      <c r="A1084" t="s">
        <v>5215</v>
      </c>
      <c r="B1084" s="2">
        <v>43650</v>
      </c>
      <c r="C1084" s="2" t="str">
        <f t="shared" si="32"/>
        <v>July</v>
      </c>
      <c r="D1084" s="2" t="str">
        <f t="shared" si="33"/>
        <v>2019</v>
      </c>
      <c r="E1084" s="2">
        <v>43653</v>
      </c>
      <c r="F1084" t="s">
        <v>62</v>
      </c>
      <c r="G1084" t="s">
        <v>5216</v>
      </c>
      <c r="H1084" t="s">
        <v>5217</v>
      </c>
      <c r="I1084" t="s">
        <v>23</v>
      </c>
      <c r="J1084" t="s">
        <v>24</v>
      </c>
      <c r="K1084" t="s">
        <v>212</v>
      </c>
      <c r="L1084" t="s">
        <v>26</v>
      </c>
      <c r="M1084" t="s">
        <v>57</v>
      </c>
      <c r="N1084" t="s">
        <v>5218</v>
      </c>
      <c r="O1084" t="s">
        <v>48</v>
      </c>
      <c r="P1084" t="s">
        <v>59</v>
      </c>
      <c r="Q1084" t="s">
        <v>5219</v>
      </c>
      <c r="R1084">
        <v>221.15</v>
      </c>
      <c r="S1084">
        <v>9</v>
      </c>
      <c r="T1084">
        <v>0</v>
      </c>
      <c r="U1084">
        <v>-65.09</v>
      </c>
    </row>
    <row r="1085" spans="1:21" x14ac:dyDescent="0.35">
      <c r="A1085" t="s">
        <v>5220</v>
      </c>
      <c r="B1085" s="2">
        <v>43278</v>
      </c>
      <c r="C1085" s="2" t="str">
        <f t="shared" si="32"/>
        <v>June</v>
      </c>
      <c r="D1085" s="2" t="str">
        <f t="shared" si="33"/>
        <v>2018</v>
      </c>
      <c r="E1085" s="2">
        <v>43166</v>
      </c>
      <c r="F1085" t="s">
        <v>20</v>
      </c>
      <c r="G1085" t="s">
        <v>5221</v>
      </c>
      <c r="H1085" t="s">
        <v>5222</v>
      </c>
      <c r="I1085" t="s">
        <v>23</v>
      </c>
      <c r="J1085" t="s">
        <v>24</v>
      </c>
      <c r="K1085" t="s">
        <v>45</v>
      </c>
      <c r="L1085" t="s">
        <v>26</v>
      </c>
      <c r="M1085" t="s">
        <v>83</v>
      </c>
      <c r="N1085" t="s">
        <v>5223</v>
      </c>
      <c r="O1085" t="s">
        <v>67</v>
      </c>
      <c r="P1085" t="s">
        <v>350</v>
      </c>
      <c r="Q1085" t="s">
        <v>5224</v>
      </c>
      <c r="R1085">
        <v>1814.32</v>
      </c>
      <c r="S1085">
        <v>10</v>
      </c>
      <c r="T1085">
        <v>0.2</v>
      </c>
      <c r="U1085">
        <v>-77.83</v>
      </c>
    </row>
    <row r="1086" spans="1:21" x14ac:dyDescent="0.35">
      <c r="A1086" t="s">
        <v>5225</v>
      </c>
      <c r="B1086" s="2">
        <v>43608</v>
      </c>
      <c r="C1086" s="2" t="str">
        <f t="shared" si="32"/>
        <v>May</v>
      </c>
      <c r="D1086" s="2" t="str">
        <f t="shared" si="33"/>
        <v>2019</v>
      </c>
      <c r="E1086" s="2" t="s">
        <v>6138</v>
      </c>
      <c r="F1086" t="s">
        <v>20</v>
      </c>
      <c r="G1086" t="s">
        <v>5226</v>
      </c>
      <c r="H1086" t="s">
        <v>5227</v>
      </c>
      <c r="I1086" t="s">
        <v>23</v>
      </c>
      <c r="J1086" t="s">
        <v>24</v>
      </c>
      <c r="K1086" t="s">
        <v>133</v>
      </c>
      <c r="L1086" t="s">
        <v>26</v>
      </c>
      <c r="M1086" t="s">
        <v>27</v>
      </c>
      <c r="N1086" t="s">
        <v>5228</v>
      </c>
      <c r="O1086" t="s">
        <v>29</v>
      </c>
      <c r="P1086" t="s">
        <v>39</v>
      </c>
      <c r="Q1086" t="s">
        <v>5229</v>
      </c>
      <c r="R1086">
        <v>1988.13</v>
      </c>
      <c r="S1086">
        <v>10</v>
      </c>
      <c r="T1086">
        <v>0</v>
      </c>
      <c r="U1086">
        <v>392.48</v>
      </c>
    </row>
    <row r="1087" spans="1:21" x14ac:dyDescent="0.35">
      <c r="A1087" t="s">
        <v>5230</v>
      </c>
      <c r="B1087" s="2">
        <v>42767</v>
      </c>
      <c r="C1087" s="2" t="str">
        <f t="shared" si="32"/>
        <v>February</v>
      </c>
      <c r="D1087" s="2" t="str">
        <f t="shared" si="33"/>
        <v>2017</v>
      </c>
      <c r="E1087" s="2">
        <v>42980</v>
      </c>
      <c r="F1087" t="s">
        <v>42</v>
      </c>
      <c r="G1087" t="s">
        <v>5231</v>
      </c>
      <c r="H1087" t="s">
        <v>5232</v>
      </c>
      <c r="I1087" t="s">
        <v>23</v>
      </c>
      <c r="J1087" t="s">
        <v>24</v>
      </c>
      <c r="K1087" t="s">
        <v>81</v>
      </c>
      <c r="L1087" t="s">
        <v>37</v>
      </c>
      <c r="M1087" t="s">
        <v>57</v>
      </c>
      <c r="N1087" t="s">
        <v>5233</v>
      </c>
      <c r="O1087" t="s">
        <v>67</v>
      </c>
      <c r="P1087" t="s">
        <v>92</v>
      </c>
      <c r="Q1087" t="s">
        <v>5234</v>
      </c>
      <c r="R1087">
        <v>566.95000000000005</v>
      </c>
      <c r="S1087">
        <v>4</v>
      </c>
      <c r="T1087">
        <v>0</v>
      </c>
      <c r="U1087">
        <v>208.96</v>
      </c>
    </row>
    <row r="1088" spans="1:21" x14ac:dyDescent="0.35">
      <c r="A1088" t="s">
        <v>5235</v>
      </c>
      <c r="B1088" s="2">
        <v>43777</v>
      </c>
      <c r="C1088" s="2" t="str">
        <f t="shared" si="32"/>
        <v>November</v>
      </c>
      <c r="D1088" s="2" t="str">
        <f t="shared" si="33"/>
        <v>2019</v>
      </c>
      <c r="E1088" s="2">
        <v>43780</v>
      </c>
      <c r="F1088" t="s">
        <v>42</v>
      </c>
      <c r="G1088" t="s">
        <v>5236</v>
      </c>
      <c r="H1088" t="s">
        <v>5237</v>
      </c>
      <c r="I1088" t="s">
        <v>55</v>
      </c>
      <c r="J1088" t="s">
        <v>24</v>
      </c>
      <c r="K1088" t="s">
        <v>97</v>
      </c>
      <c r="L1088" t="s">
        <v>36</v>
      </c>
      <c r="M1088" t="s">
        <v>57</v>
      </c>
      <c r="N1088" t="s">
        <v>5238</v>
      </c>
      <c r="O1088" t="s">
        <v>48</v>
      </c>
      <c r="P1088" t="s">
        <v>128</v>
      </c>
      <c r="Q1088" t="s">
        <v>5239</v>
      </c>
      <c r="R1088">
        <v>956.31</v>
      </c>
      <c r="S1088">
        <v>5</v>
      </c>
      <c r="T1088">
        <v>0.3</v>
      </c>
      <c r="U1088">
        <v>0.52</v>
      </c>
    </row>
    <row r="1089" spans="1:21" x14ac:dyDescent="0.35">
      <c r="A1089" t="s">
        <v>5240</v>
      </c>
      <c r="B1089" s="2">
        <v>43489</v>
      </c>
      <c r="C1089" s="2" t="str">
        <f t="shared" si="32"/>
        <v>January</v>
      </c>
      <c r="D1089" s="2" t="str">
        <f t="shared" si="33"/>
        <v>2019</v>
      </c>
      <c r="E1089" s="2" t="s">
        <v>5981</v>
      </c>
      <c r="F1089" t="s">
        <v>62</v>
      </c>
      <c r="G1089" t="s">
        <v>5241</v>
      </c>
      <c r="H1089" t="s">
        <v>473</v>
      </c>
      <c r="I1089" t="s">
        <v>23</v>
      </c>
      <c r="J1089" t="s">
        <v>24</v>
      </c>
      <c r="K1089" t="s">
        <v>45</v>
      </c>
      <c r="L1089" t="s">
        <v>26</v>
      </c>
      <c r="M1089" t="s">
        <v>74</v>
      </c>
      <c r="N1089" t="s">
        <v>5242</v>
      </c>
      <c r="O1089" t="s">
        <v>67</v>
      </c>
      <c r="P1089" t="s">
        <v>117</v>
      </c>
      <c r="Q1089" t="s">
        <v>5243</v>
      </c>
      <c r="R1089">
        <v>1839.17</v>
      </c>
      <c r="S1089">
        <v>8</v>
      </c>
      <c r="T1089">
        <v>0</v>
      </c>
      <c r="U1089">
        <v>-361.28</v>
      </c>
    </row>
    <row r="1090" spans="1:21" x14ac:dyDescent="0.35">
      <c r="A1090" t="s">
        <v>5244</v>
      </c>
      <c r="B1090" s="2">
        <v>42696</v>
      </c>
      <c r="C1090" s="2" t="str">
        <f t="shared" si="32"/>
        <v>November</v>
      </c>
      <c r="D1090" s="2" t="str">
        <f t="shared" si="33"/>
        <v>2016</v>
      </c>
      <c r="E1090" s="2">
        <v>42412</v>
      </c>
      <c r="F1090" t="s">
        <v>42</v>
      </c>
      <c r="G1090" t="s">
        <v>5245</v>
      </c>
      <c r="H1090" t="s">
        <v>4988</v>
      </c>
      <c r="I1090" t="s">
        <v>55</v>
      </c>
      <c r="J1090" t="s">
        <v>24</v>
      </c>
      <c r="K1090" t="s">
        <v>97</v>
      </c>
      <c r="L1090" t="s">
        <v>56</v>
      </c>
      <c r="M1090" t="s">
        <v>57</v>
      </c>
      <c r="N1090" t="s">
        <v>5246</v>
      </c>
      <c r="O1090" t="s">
        <v>29</v>
      </c>
      <c r="P1090" t="s">
        <v>155</v>
      </c>
      <c r="Q1090" t="s">
        <v>5247</v>
      </c>
      <c r="R1090">
        <v>1205.9100000000001</v>
      </c>
      <c r="S1090">
        <v>3</v>
      </c>
      <c r="T1090">
        <v>0</v>
      </c>
      <c r="U1090">
        <v>-99.08</v>
      </c>
    </row>
    <row r="1091" spans="1:21" x14ac:dyDescent="0.35">
      <c r="A1091" t="s">
        <v>5248</v>
      </c>
      <c r="B1091" s="2">
        <v>43005</v>
      </c>
      <c r="C1091" s="2" t="str">
        <f t="shared" ref="C1091:C1154" si="34">TEXT(B1091,"mmmm")</f>
        <v>September</v>
      </c>
      <c r="D1091" s="2" t="str">
        <f t="shared" ref="D1091:D1154" si="35">TEXT(B1091,"yyyy")</f>
        <v>2017</v>
      </c>
      <c r="E1091" s="2">
        <v>42745</v>
      </c>
      <c r="F1091" t="s">
        <v>52</v>
      </c>
      <c r="G1091" t="s">
        <v>5249</v>
      </c>
      <c r="H1091" t="s">
        <v>5250</v>
      </c>
      <c r="I1091" t="s">
        <v>23</v>
      </c>
      <c r="J1091" t="s">
        <v>24</v>
      </c>
      <c r="K1091" t="s">
        <v>89</v>
      </c>
      <c r="L1091" t="s">
        <v>170</v>
      </c>
      <c r="M1091" t="s">
        <v>57</v>
      </c>
      <c r="N1091" t="s">
        <v>5251</v>
      </c>
      <c r="O1091" t="s">
        <v>29</v>
      </c>
      <c r="P1091" t="s">
        <v>110</v>
      </c>
      <c r="Q1091" t="s">
        <v>598</v>
      </c>
      <c r="R1091">
        <v>1683.62</v>
      </c>
      <c r="S1091">
        <v>7</v>
      </c>
      <c r="T1091">
        <v>0.3</v>
      </c>
      <c r="U1091">
        <v>834.65</v>
      </c>
    </row>
    <row r="1092" spans="1:21" x14ac:dyDescent="0.35">
      <c r="A1092" t="s">
        <v>5252</v>
      </c>
      <c r="B1092" s="2">
        <v>42498</v>
      </c>
      <c r="C1092" s="2" t="str">
        <f t="shared" si="34"/>
        <v>May</v>
      </c>
      <c r="D1092" s="2" t="str">
        <f t="shared" si="35"/>
        <v>2016</v>
      </c>
      <c r="E1092" s="2" t="s">
        <v>5972</v>
      </c>
      <c r="F1092" t="s">
        <v>52</v>
      </c>
      <c r="G1092" t="s">
        <v>5253</v>
      </c>
      <c r="H1092" t="s">
        <v>5254</v>
      </c>
      <c r="I1092" t="s">
        <v>55</v>
      </c>
      <c r="J1092" t="s">
        <v>24</v>
      </c>
      <c r="K1092" t="s">
        <v>81</v>
      </c>
      <c r="L1092" t="s">
        <v>82</v>
      </c>
      <c r="M1092" t="s">
        <v>83</v>
      </c>
      <c r="N1092" t="s">
        <v>5255</v>
      </c>
      <c r="O1092" t="s">
        <v>29</v>
      </c>
      <c r="P1092" t="s">
        <v>110</v>
      </c>
      <c r="Q1092" t="s">
        <v>5256</v>
      </c>
      <c r="R1092">
        <v>1655.55</v>
      </c>
      <c r="S1092">
        <v>7</v>
      </c>
      <c r="T1092">
        <v>0</v>
      </c>
      <c r="U1092">
        <v>-295.42</v>
      </c>
    </row>
    <row r="1093" spans="1:21" x14ac:dyDescent="0.35">
      <c r="A1093" t="s">
        <v>5257</v>
      </c>
      <c r="B1093" s="2">
        <v>43030</v>
      </c>
      <c r="C1093" s="2" t="str">
        <f t="shared" si="34"/>
        <v>October</v>
      </c>
      <c r="D1093" s="2" t="str">
        <f t="shared" si="35"/>
        <v>2017</v>
      </c>
      <c r="E1093" s="2" t="s">
        <v>6157</v>
      </c>
      <c r="F1093" t="s">
        <v>52</v>
      </c>
      <c r="G1093" t="s">
        <v>5258</v>
      </c>
      <c r="H1093" t="s">
        <v>5259</v>
      </c>
      <c r="I1093" t="s">
        <v>23</v>
      </c>
      <c r="J1093" t="s">
        <v>24</v>
      </c>
      <c r="K1093" t="s">
        <v>103</v>
      </c>
      <c r="L1093" t="s">
        <v>36</v>
      </c>
      <c r="M1093" t="s">
        <v>27</v>
      </c>
      <c r="N1093" t="s">
        <v>5260</v>
      </c>
      <c r="O1093" t="s">
        <v>29</v>
      </c>
      <c r="P1093" t="s">
        <v>30</v>
      </c>
      <c r="Q1093" t="s">
        <v>5261</v>
      </c>
      <c r="R1093">
        <v>625.9</v>
      </c>
      <c r="S1093">
        <v>3</v>
      </c>
      <c r="T1093">
        <v>0.1</v>
      </c>
      <c r="U1093">
        <v>180.2</v>
      </c>
    </row>
    <row r="1094" spans="1:21" x14ac:dyDescent="0.35">
      <c r="A1094" t="s">
        <v>5262</v>
      </c>
      <c r="B1094" s="2">
        <v>43332</v>
      </c>
      <c r="C1094" s="2" t="str">
        <f t="shared" si="34"/>
        <v>August</v>
      </c>
      <c r="D1094" s="2" t="str">
        <f t="shared" si="35"/>
        <v>2018</v>
      </c>
      <c r="E1094" s="2" t="s">
        <v>6373</v>
      </c>
      <c r="F1094" t="s">
        <v>20</v>
      </c>
      <c r="G1094" t="s">
        <v>5263</v>
      </c>
      <c r="H1094" t="s">
        <v>5264</v>
      </c>
      <c r="I1094" t="s">
        <v>23</v>
      </c>
      <c r="J1094" t="s">
        <v>24</v>
      </c>
      <c r="K1094" t="s">
        <v>89</v>
      </c>
      <c r="L1094" t="s">
        <v>37</v>
      </c>
      <c r="M1094" t="s">
        <v>27</v>
      </c>
      <c r="N1094" t="s">
        <v>5265</v>
      </c>
      <c r="O1094" t="s">
        <v>67</v>
      </c>
      <c r="P1094" t="s">
        <v>68</v>
      </c>
      <c r="Q1094" t="s">
        <v>5266</v>
      </c>
      <c r="R1094">
        <v>781.27</v>
      </c>
      <c r="S1094">
        <v>7</v>
      </c>
      <c r="T1094">
        <v>0</v>
      </c>
      <c r="U1094">
        <v>-167.85</v>
      </c>
    </row>
    <row r="1095" spans="1:21" x14ac:dyDescent="0.35">
      <c r="A1095" t="s">
        <v>5267</v>
      </c>
      <c r="B1095" s="2">
        <v>43426</v>
      </c>
      <c r="C1095" s="2" t="str">
        <f t="shared" si="34"/>
        <v>November</v>
      </c>
      <c r="D1095" s="2" t="str">
        <f t="shared" si="35"/>
        <v>2018</v>
      </c>
      <c r="E1095" s="2" t="s">
        <v>6258</v>
      </c>
      <c r="F1095" t="s">
        <v>62</v>
      </c>
      <c r="G1095" t="s">
        <v>5268</v>
      </c>
      <c r="H1095" t="s">
        <v>5269</v>
      </c>
      <c r="I1095" t="s">
        <v>35</v>
      </c>
      <c r="J1095" t="s">
        <v>24</v>
      </c>
      <c r="K1095" t="s">
        <v>73</v>
      </c>
      <c r="L1095" t="s">
        <v>46</v>
      </c>
      <c r="M1095" t="s">
        <v>74</v>
      </c>
      <c r="N1095" t="s">
        <v>5270</v>
      </c>
      <c r="O1095" t="s">
        <v>29</v>
      </c>
      <c r="P1095" t="s">
        <v>155</v>
      </c>
      <c r="Q1095" t="s">
        <v>2121</v>
      </c>
      <c r="R1095">
        <v>651.36</v>
      </c>
      <c r="S1095">
        <v>2</v>
      </c>
      <c r="T1095">
        <v>0.4</v>
      </c>
      <c r="U1095">
        <v>-145.91</v>
      </c>
    </row>
    <row r="1096" spans="1:21" x14ac:dyDescent="0.35">
      <c r="A1096" t="s">
        <v>5271</v>
      </c>
      <c r="B1096" s="2">
        <v>42781</v>
      </c>
      <c r="C1096" s="2" t="str">
        <f t="shared" si="34"/>
        <v>February</v>
      </c>
      <c r="D1096" s="2" t="str">
        <f t="shared" si="35"/>
        <v>2017</v>
      </c>
      <c r="E1096" s="2" t="s">
        <v>6083</v>
      </c>
      <c r="F1096" t="s">
        <v>20</v>
      </c>
      <c r="G1096" t="s">
        <v>5272</v>
      </c>
      <c r="H1096" t="s">
        <v>3826</v>
      </c>
      <c r="I1096" t="s">
        <v>23</v>
      </c>
      <c r="J1096" t="s">
        <v>24</v>
      </c>
      <c r="K1096" t="s">
        <v>97</v>
      </c>
      <c r="L1096" t="s">
        <v>37</v>
      </c>
      <c r="M1096" t="s">
        <v>74</v>
      </c>
      <c r="N1096" t="s">
        <v>5273</v>
      </c>
      <c r="O1096" t="s">
        <v>29</v>
      </c>
      <c r="P1096" t="s">
        <v>39</v>
      </c>
      <c r="Q1096" t="s">
        <v>5274</v>
      </c>
      <c r="R1096">
        <v>383.74</v>
      </c>
      <c r="S1096">
        <v>8</v>
      </c>
      <c r="T1096">
        <v>0.4</v>
      </c>
      <c r="U1096">
        <v>-15.73</v>
      </c>
    </row>
    <row r="1097" spans="1:21" x14ac:dyDescent="0.35">
      <c r="A1097" t="s">
        <v>5275</v>
      </c>
      <c r="B1097" s="2">
        <v>43735</v>
      </c>
      <c r="C1097" s="2" t="str">
        <f t="shared" si="34"/>
        <v>September</v>
      </c>
      <c r="D1097" s="2" t="str">
        <f t="shared" si="35"/>
        <v>2019</v>
      </c>
      <c r="E1097" s="2">
        <v>43534</v>
      </c>
      <c r="F1097" t="s">
        <v>62</v>
      </c>
      <c r="G1097" t="s">
        <v>5276</v>
      </c>
      <c r="H1097" t="s">
        <v>2143</v>
      </c>
      <c r="I1097" t="s">
        <v>35</v>
      </c>
      <c r="J1097" t="s">
        <v>24</v>
      </c>
      <c r="K1097" t="s">
        <v>89</v>
      </c>
      <c r="L1097" t="s">
        <v>170</v>
      </c>
      <c r="M1097" t="s">
        <v>74</v>
      </c>
      <c r="N1097" t="s">
        <v>5277</v>
      </c>
      <c r="O1097" t="s">
        <v>67</v>
      </c>
      <c r="P1097" t="s">
        <v>350</v>
      </c>
      <c r="Q1097" t="s">
        <v>5278</v>
      </c>
      <c r="R1097">
        <v>773.67</v>
      </c>
      <c r="S1097">
        <v>5</v>
      </c>
      <c r="T1097">
        <v>0</v>
      </c>
      <c r="U1097">
        <v>363.76</v>
      </c>
    </row>
    <row r="1098" spans="1:21" x14ac:dyDescent="0.35">
      <c r="A1098" t="s">
        <v>5279</v>
      </c>
      <c r="B1098" s="2">
        <v>42665</v>
      </c>
      <c r="C1098" s="2" t="str">
        <f t="shared" si="34"/>
        <v>October</v>
      </c>
      <c r="D1098" s="2" t="str">
        <f t="shared" si="35"/>
        <v>2016</v>
      </c>
      <c r="E1098" s="2" t="s">
        <v>6380</v>
      </c>
      <c r="F1098" t="s">
        <v>52</v>
      </c>
      <c r="G1098" t="s">
        <v>5280</v>
      </c>
      <c r="H1098" t="s">
        <v>2502</v>
      </c>
      <c r="I1098" t="s">
        <v>23</v>
      </c>
      <c r="J1098" t="s">
        <v>24</v>
      </c>
      <c r="K1098" t="s">
        <v>81</v>
      </c>
      <c r="L1098" t="s">
        <v>26</v>
      </c>
      <c r="M1098" t="s">
        <v>27</v>
      </c>
      <c r="N1098" t="s">
        <v>5281</v>
      </c>
      <c r="O1098" t="s">
        <v>48</v>
      </c>
      <c r="P1098" t="s">
        <v>76</v>
      </c>
      <c r="Q1098" t="s">
        <v>3454</v>
      </c>
      <c r="R1098">
        <v>1724.73</v>
      </c>
      <c r="S1098">
        <v>5</v>
      </c>
      <c r="T1098">
        <v>0.1</v>
      </c>
      <c r="U1098">
        <v>678.29</v>
      </c>
    </row>
    <row r="1099" spans="1:21" x14ac:dyDescent="0.35">
      <c r="A1099" t="s">
        <v>5282</v>
      </c>
      <c r="B1099" s="2">
        <v>43293</v>
      </c>
      <c r="C1099" s="2" t="str">
        <f t="shared" si="34"/>
        <v>July</v>
      </c>
      <c r="D1099" s="2" t="str">
        <f t="shared" si="35"/>
        <v>2018</v>
      </c>
      <c r="E1099" s="2" t="s">
        <v>5938</v>
      </c>
      <c r="F1099" t="s">
        <v>52</v>
      </c>
      <c r="G1099" t="s">
        <v>5283</v>
      </c>
      <c r="H1099" t="s">
        <v>5284</v>
      </c>
      <c r="I1099" t="s">
        <v>55</v>
      </c>
      <c r="J1099" t="s">
        <v>24</v>
      </c>
      <c r="K1099" t="s">
        <v>45</v>
      </c>
      <c r="L1099" t="s">
        <v>65</v>
      </c>
      <c r="M1099" t="s">
        <v>27</v>
      </c>
      <c r="N1099" t="s">
        <v>5285</v>
      </c>
      <c r="O1099" t="s">
        <v>48</v>
      </c>
      <c r="P1099" t="s">
        <v>76</v>
      </c>
      <c r="Q1099" t="s">
        <v>5286</v>
      </c>
      <c r="R1099">
        <v>1297.22</v>
      </c>
      <c r="S1099">
        <v>9</v>
      </c>
      <c r="T1099">
        <v>0</v>
      </c>
      <c r="U1099">
        <v>31.06</v>
      </c>
    </row>
    <row r="1100" spans="1:21" x14ac:dyDescent="0.35">
      <c r="A1100" t="s">
        <v>5287</v>
      </c>
      <c r="B1100" s="2">
        <v>42545</v>
      </c>
      <c r="C1100" s="2" t="str">
        <f t="shared" si="34"/>
        <v>June</v>
      </c>
      <c r="D1100" s="2" t="str">
        <f t="shared" si="35"/>
        <v>2016</v>
      </c>
      <c r="E1100" s="2" t="s">
        <v>6069</v>
      </c>
      <c r="F1100" t="s">
        <v>20</v>
      </c>
      <c r="G1100" t="s">
        <v>5288</v>
      </c>
      <c r="H1100" t="s">
        <v>4755</v>
      </c>
      <c r="I1100" t="s">
        <v>23</v>
      </c>
      <c r="J1100" t="s">
        <v>24</v>
      </c>
      <c r="K1100" t="s">
        <v>25</v>
      </c>
      <c r="L1100" t="s">
        <v>170</v>
      </c>
      <c r="M1100" t="s">
        <v>83</v>
      </c>
      <c r="N1100" t="s">
        <v>5289</v>
      </c>
      <c r="O1100" t="s">
        <v>29</v>
      </c>
      <c r="P1100" t="s">
        <v>155</v>
      </c>
      <c r="Q1100" t="s">
        <v>5290</v>
      </c>
      <c r="R1100">
        <v>1683.8</v>
      </c>
      <c r="S1100">
        <v>6</v>
      </c>
      <c r="T1100">
        <v>0.3</v>
      </c>
      <c r="U1100">
        <v>290.68</v>
      </c>
    </row>
    <row r="1101" spans="1:21" x14ac:dyDescent="0.35">
      <c r="A1101" t="s">
        <v>5291</v>
      </c>
      <c r="B1101" s="2">
        <v>43753</v>
      </c>
      <c r="C1101" s="2" t="str">
        <f t="shared" si="34"/>
        <v>October</v>
      </c>
      <c r="D1101" s="2" t="str">
        <f t="shared" si="35"/>
        <v>2019</v>
      </c>
      <c r="E1101" s="2" t="s">
        <v>6026</v>
      </c>
      <c r="F1101" t="s">
        <v>52</v>
      </c>
      <c r="G1101" t="s">
        <v>5292</v>
      </c>
      <c r="H1101" t="s">
        <v>5293</v>
      </c>
      <c r="I1101" t="s">
        <v>23</v>
      </c>
      <c r="J1101" t="s">
        <v>24</v>
      </c>
      <c r="K1101" t="s">
        <v>97</v>
      </c>
      <c r="L1101" t="s">
        <v>56</v>
      </c>
      <c r="M1101" t="s">
        <v>83</v>
      </c>
      <c r="N1101" t="s">
        <v>5294</v>
      </c>
      <c r="O1101" t="s">
        <v>67</v>
      </c>
      <c r="P1101" t="s">
        <v>117</v>
      </c>
      <c r="Q1101" t="s">
        <v>3117</v>
      </c>
      <c r="R1101">
        <v>1005.34</v>
      </c>
      <c r="S1101">
        <v>3</v>
      </c>
      <c r="T1101">
        <v>0.3</v>
      </c>
      <c r="U1101">
        <v>438.21</v>
      </c>
    </row>
    <row r="1102" spans="1:21" x14ac:dyDescent="0.35">
      <c r="A1102" t="s">
        <v>5295</v>
      </c>
      <c r="B1102" s="2">
        <v>42381</v>
      </c>
      <c r="C1102" s="2" t="str">
        <f t="shared" si="34"/>
        <v>January</v>
      </c>
      <c r="D1102" s="2" t="str">
        <f t="shared" si="35"/>
        <v>2016</v>
      </c>
      <c r="E1102" s="2" t="s">
        <v>5933</v>
      </c>
      <c r="F1102" t="s">
        <v>42</v>
      </c>
      <c r="G1102" t="s">
        <v>5296</v>
      </c>
      <c r="H1102" t="s">
        <v>5297</v>
      </c>
      <c r="I1102" t="s">
        <v>55</v>
      </c>
      <c r="J1102" t="s">
        <v>24</v>
      </c>
      <c r="K1102" t="s">
        <v>73</v>
      </c>
      <c r="L1102" t="s">
        <v>82</v>
      </c>
      <c r="M1102" t="s">
        <v>27</v>
      </c>
      <c r="N1102" t="s">
        <v>5298</v>
      </c>
      <c r="O1102" t="s">
        <v>29</v>
      </c>
      <c r="P1102" t="s">
        <v>155</v>
      </c>
      <c r="Q1102" t="s">
        <v>5299</v>
      </c>
      <c r="R1102">
        <v>556.38</v>
      </c>
      <c r="S1102">
        <v>3</v>
      </c>
      <c r="T1102">
        <v>0.2</v>
      </c>
      <c r="U1102">
        <v>216.15</v>
      </c>
    </row>
    <row r="1103" spans="1:21" x14ac:dyDescent="0.35">
      <c r="A1103" t="s">
        <v>5300</v>
      </c>
      <c r="B1103" s="2">
        <v>43376</v>
      </c>
      <c r="C1103" s="2" t="str">
        <f t="shared" si="34"/>
        <v>October</v>
      </c>
      <c r="D1103" s="2" t="str">
        <f t="shared" si="35"/>
        <v>2018</v>
      </c>
      <c r="E1103" s="2">
        <v>43322</v>
      </c>
      <c r="F1103" t="s">
        <v>52</v>
      </c>
      <c r="G1103" t="s">
        <v>5301</v>
      </c>
      <c r="H1103" t="s">
        <v>5302</v>
      </c>
      <c r="I1103" t="s">
        <v>35</v>
      </c>
      <c r="J1103" t="s">
        <v>24</v>
      </c>
      <c r="K1103" t="s">
        <v>36</v>
      </c>
      <c r="L1103" t="s">
        <v>82</v>
      </c>
      <c r="M1103" t="s">
        <v>27</v>
      </c>
      <c r="N1103" t="s">
        <v>5303</v>
      </c>
      <c r="O1103" t="s">
        <v>48</v>
      </c>
      <c r="P1103" t="s">
        <v>59</v>
      </c>
      <c r="Q1103" t="s">
        <v>4736</v>
      </c>
      <c r="R1103">
        <v>887.73</v>
      </c>
      <c r="S1103">
        <v>5</v>
      </c>
      <c r="T1103">
        <v>0.1</v>
      </c>
      <c r="U1103">
        <v>-102.2</v>
      </c>
    </row>
    <row r="1104" spans="1:21" x14ac:dyDescent="0.35">
      <c r="A1104" t="s">
        <v>5304</v>
      </c>
      <c r="B1104" s="2">
        <v>42717</v>
      </c>
      <c r="C1104" s="2" t="str">
        <f t="shared" si="34"/>
        <v>December</v>
      </c>
      <c r="D1104" s="2" t="str">
        <f t="shared" si="35"/>
        <v>2016</v>
      </c>
      <c r="E1104" s="2" t="s">
        <v>5968</v>
      </c>
      <c r="F1104" t="s">
        <v>52</v>
      </c>
      <c r="G1104" t="s">
        <v>5305</v>
      </c>
      <c r="H1104" t="s">
        <v>5306</v>
      </c>
      <c r="I1104" t="s">
        <v>55</v>
      </c>
      <c r="J1104" t="s">
        <v>24</v>
      </c>
      <c r="K1104" t="s">
        <v>212</v>
      </c>
      <c r="L1104" t="s">
        <v>65</v>
      </c>
      <c r="M1104" t="s">
        <v>74</v>
      </c>
      <c r="N1104" t="s">
        <v>5307</v>
      </c>
      <c r="O1104" t="s">
        <v>29</v>
      </c>
      <c r="P1104" t="s">
        <v>30</v>
      </c>
      <c r="Q1104" t="s">
        <v>5308</v>
      </c>
      <c r="R1104">
        <v>143.65</v>
      </c>
      <c r="S1104">
        <v>9</v>
      </c>
      <c r="T1104">
        <v>0.4</v>
      </c>
      <c r="U1104">
        <v>21.65</v>
      </c>
    </row>
    <row r="1105" spans="1:21" x14ac:dyDescent="0.35">
      <c r="A1105" t="s">
        <v>5309</v>
      </c>
      <c r="B1105" s="2">
        <v>43482</v>
      </c>
      <c r="C1105" s="2" t="str">
        <f t="shared" si="34"/>
        <v>January</v>
      </c>
      <c r="D1105" s="2" t="str">
        <f t="shared" si="35"/>
        <v>2019</v>
      </c>
      <c r="E1105" s="2" t="s">
        <v>6381</v>
      </c>
      <c r="F1105" t="s">
        <v>62</v>
      </c>
      <c r="G1105" t="s">
        <v>5310</v>
      </c>
      <c r="H1105" t="s">
        <v>2067</v>
      </c>
      <c r="I1105" t="s">
        <v>55</v>
      </c>
      <c r="J1105" t="s">
        <v>24</v>
      </c>
      <c r="K1105" t="s">
        <v>212</v>
      </c>
      <c r="L1105" t="s">
        <v>65</v>
      </c>
      <c r="M1105" t="s">
        <v>57</v>
      </c>
      <c r="N1105" t="s">
        <v>5311</v>
      </c>
      <c r="O1105" t="s">
        <v>48</v>
      </c>
      <c r="P1105" t="s">
        <v>49</v>
      </c>
      <c r="Q1105" t="s">
        <v>1912</v>
      </c>
      <c r="R1105">
        <v>1561.35</v>
      </c>
      <c r="S1105">
        <v>3</v>
      </c>
      <c r="T1105">
        <v>0</v>
      </c>
      <c r="U1105">
        <v>656.6</v>
      </c>
    </row>
    <row r="1106" spans="1:21" x14ac:dyDescent="0.35">
      <c r="A1106" t="s">
        <v>5312</v>
      </c>
      <c r="B1106" s="2">
        <v>43070</v>
      </c>
      <c r="C1106" s="2" t="str">
        <f t="shared" si="34"/>
        <v>December</v>
      </c>
      <c r="D1106" s="2" t="str">
        <f t="shared" si="35"/>
        <v>2017</v>
      </c>
      <c r="E1106" s="2">
        <v>42928</v>
      </c>
      <c r="F1106" t="s">
        <v>20</v>
      </c>
      <c r="G1106" t="s">
        <v>5313</v>
      </c>
      <c r="H1106" t="s">
        <v>5314</v>
      </c>
      <c r="I1106" t="s">
        <v>35</v>
      </c>
      <c r="J1106" t="s">
        <v>24</v>
      </c>
      <c r="K1106" t="s">
        <v>89</v>
      </c>
      <c r="L1106" t="s">
        <v>56</v>
      </c>
      <c r="M1106" t="s">
        <v>83</v>
      </c>
      <c r="N1106" t="s">
        <v>5315</v>
      </c>
      <c r="O1106" t="s">
        <v>29</v>
      </c>
      <c r="P1106" t="s">
        <v>110</v>
      </c>
      <c r="Q1106" t="s">
        <v>1903</v>
      </c>
      <c r="R1106">
        <v>1955.82</v>
      </c>
      <c r="S1106">
        <v>6</v>
      </c>
      <c r="T1106">
        <v>0</v>
      </c>
      <c r="U1106">
        <v>754.9</v>
      </c>
    </row>
    <row r="1107" spans="1:21" x14ac:dyDescent="0.35">
      <c r="A1107" t="s">
        <v>5316</v>
      </c>
      <c r="B1107" s="2">
        <v>43153</v>
      </c>
      <c r="C1107" s="2" t="str">
        <f t="shared" si="34"/>
        <v>February</v>
      </c>
      <c r="D1107" s="2" t="str">
        <f t="shared" si="35"/>
        <v>2018</v>
      </c>
      <c r="E1107" s="2">
        <v>43103</v>
      </c>
      <c r="F1107" t="s">
        <v>52</v>
      </c>
      <c r="G1107" t="s">
        <v>5317</v>
      </c>
      <c r="H1107" t="s">
        <v>5318</v>
      </c>
      <c r="I1107" t="s">
        <v>23</v>
      </c>
      <c r="J1107" t="s">
        <v>24</v>
      </c>
      <c r="K1107" t="s">
        <v>103</v>
      </c>
      <c r="L1107" t="s">
        <v>90</v>
      </c>
      <c r="M1107" t="s">
        <v>57</v>
      </c>
      <c r="N1107" t="s">
        <v>5319</v>
      </c>
      <c r="O1107" t="s">
        <v>48</v>
      </c>
      <c r="P1107" t="s">
        <v>76</v>
      </c>
      <c r="Q1107" t="s">
        <v>5320</v>
      </c>
      <c r="R1107">
        <v>707.13</v>
      </c>
      <c r="S1107">
        <v>8</v>
      </c>
      <c r="T1107">
        <v>0.1</v>
      </c>
      <c r="U1107">
        <v>236.67</v>
      </c>
    </row>
    <row r="1108" spans="1:21" x14ac:dyDescent="0.35">
      <c r="A1108" t="s">
        <v>5321</v>
      </c>
      <c r="B1108" s="2">
        <v>43149</v>
      </c>
      <c r="C1108" s="2" t="str">
        <f t="shared" si="34"/>
        <v>February</v>
      </c>
      <c r="D1108" s="2" t="str">
        <f t="shared" si="35"/>
        <v>2018</v>
      </c>
      <c r="E1108" s="2" t="s">
        <v>6216</v>
      </c>
      <c r="F1108" t="s">
        <v>42</v>
      </c>
      <c r="G1108" t="s">
        <v>5322</v>
      </c>
      <c r="H1108" t="s">
        <v>5323</v>
      </c>
      <c r="I1108" t="s">
        <v>35</v>
      </c>
      <c r="J1108" t="s">
        <v>24</v>
      </c>
      <c r="K1108" t="s">
        <v>89</v>
      </c>
      <c r="L1108" t="s">
        <v>82</v>
      </c>
      <c r="M1108" t="s">
        <v>83</v>
      </c>
      <c r="N1108" t="s">
        <v>5324</v>
      </c>
      <c r="O1108" t="s">
        <v>29</v>
      </c>
      <c r="P1108" t="s">
        <v>155</v>
      </c>
      <c r="Q1108" t="s">
        <v>5325</v>
      </c>
      <c r="R1108">
        <v>418.8</v>
      </c>
      <c r="S1108">
        <v>10</v>
      </c>
      <c r="T1108">
        <v>0.4</v>
      </c>
      <c r="U1108">
        <v>-94.08</v>
      </c>
    </row>
    <row r="1109" spans="1:21" x14ac:dyDescent="0.35">
      <c r="A1109" t="s">
        <v>5326</v>
      </c>
      <c r="B1109" s="2">
        <v>42803</v>
      </c>
      <c r="C1109" s="2" t="str">
        <f t="shared" si="34"/>
        <v>March</v>
      </c>
      <c r="D1109" s="2" t="str">
        <f t="shared" si="35"/>
        <v>2017</v>
      </c>
      <c r="E1109" s="2" t="s">
        <v>6201</v>
      </c>
      <c r="F1109" t="s">
        <v>62</v>
      </c>
      <c r="G1109" t="s">
        <v>5327</v>
      </c>
      <c r="H1109" t="s">
        <v>5328</v>
      </c>
      <c r="I1109" t="s">
        <v>35</v>
      </c>
      <c r="J1109" t="s">
        <v>24</v>
      </c>
      <c r="K1109" t="s">
        <v>45</v>
      </c>
      <c r="L1109" t="s">
        <v>37</v>
      </c>
      <c r="M1109" t="s">
        <v>57</v>
      </c>
      <c r="N1109" t="s">
        <v>5329</v>
      </c>
      <c r="O1109" t="s">
        <v>29</v>
      </c>
      <c r="P1109" t="s">
        <v>110</v>
      </c>
      <c r="Q1109" t="s">
        <v>5330</v>
      </c>
      <c r="R1109">
        <v>1489.48</v>
      </c>
      <c r="S1109">
        <v>8</v>
      </c>
      <c r="T1109">
        <v>0</v>
      </c>
      <c r="U1109">
        <v>435.45</v>
      </c>
    </row>
    <row r="1110" spans="1:21" x14ac:dyDescent="0.35">
      <c r="A1110" t="s">
        <v>5331</v>
      </c>
      <c r="B1110" s="2">
        <v>43809</v>
      </c>
      <c r="C1110" s="2" t="str">
        <f t="shared" si="34"/>
        <v>December</v>
      </c>
      <c r="D1110" s="2" t="str">
        <f t="shared" si="35"/>
        <v>2019</v>
      </c>
      <c r="E1110" s="2" t="s">
        <v>6073</v>
      </c>
      <c r="F1110" t="s">
        <v>20</v>
      </c>
      <c r="G1110" t="s">
        <v>5332</v>
      </c>
      <c r="H1110" t="s">
        <v>5333</v>
      </c>
      <c r="I1110" t="s">
        <v>55</v>
      </c>
      <c r="J1110" t="s">
        <v>24</v>
      </c>
      <c r="K1110" t="s">
        <v>25</v>
      </c>
      <c r="L1110" t="s">
        <v>37</v>
      </c>
      <c r="M1110" t="s">
        <v>83</v>
      </c>
      <c r="N1110" t="s">
        <v>5334</v>
      </c>
      <c r="O1110" t="s">
        <v>29</v>
      </c>
      <c r="P1110" t="s">
        <v>110</v>
      </c>
      <c r="Q1110" t="s">
        <v>5335</v>
      </c>
      <c r="R1110">
        <v>1300.55</v>
      </c>
      <c r="S1110">
        <v>7</v>
      </c>
      <c r="T1110">
        <v>0.4</v>
      </c>
      <c r="U1110">
        <v>-338.68</v>
      </c>
    </row>
    <row r="1111" spans="1:21" x14ac:dyDescent="0.35">
      <c r="A1111" t="s">
        <v>5336</v>
      </c>
      <c r="B1111" s="2">
        <v>42909</v>
      </c>
      <c r="C1111" s="2" t="str">
        <f t="shared" si="34"/>
        <v>June</v>
      </c>
      <c r="D1111" s="2" t="str">
        <f t="shared" si="35"/>
        <v>2017</v>
      </c>
      <c r="E1111" s="2" t="s">
        <v>6382</v>
      </c>
      <c r="F1111" t="s">
        <v>52</v>
      </c>
      <c r="G1111" t="s">
        <v>5337</v>
      </c>
      <c r="H1111" t="s">
        <v>5338</v>
      </c>
      <c r="I1111" t="s">
        <v>35</v>
      </c>
      <c r="J1111" t="s">
        <v>24</v>
      </c>
      <c r="K1111" t="s">
        <v>36</v>
      </c>
      <c r="L1111" t="s">
        <v>56</v>
      </c>
      <c r="M1111" t="s">
        <v>27</v>
      </c>
      <c r="N1111" t="s">
        <v>5339</v>
      </c>
      <c r="O1111" t="s">
        <v>48</v>
      </c>
      <c r="P1111" t="s">
        <v>76</v>
      </c>
      <c r="Q1111" t="s">
        <v>2074</v>
      </c>
      <c r="R1111">
        <v>1588.02</v>
      </c>
      <c r="S1111">
        <v>6</v>
      </c>
      <c r="T1111">
        <v>0</v>
      </c>
      <c r="U1111">
        <v>407.22</v>
      </c>
    </row>
    <row r="1112" spans="1:21" x14ac:dyDescent="0.35">
      <c r="A1112" t="s">
        <v>5340</v>
      </c>
      <c r="B1112" s="2">
        <v>43020</v>
      </c>
      <c r="C1112" s="2" t="str">
        <f t="shared" si="34"/>
        <v>October</v>
      </c>
      <c r="D1112" s="2" t="str">
        <f t="shared" si="35"/>
        <v>2017</v>
      </c>
      <c r="E1112" s="2" t="s">
        <v>6383</v>
      </c>
      <c r="F1112" t="s">
        <v>62</v>
      </c>
      <c r="G1112" t="s">
        <v>5341</v>
      </c>
      <c r="H1112" t="s">
        <v>5342</v>
      </c>
      <c r="I1112" t="s">
        <v>35</v>
      </c>
      <c r="J1112" t="s">
        <v>24</v>
      </c>
      <c r="K1112" t="s">
        <v>89</v>
      </c>
      <c r="L1112" t="s">
        <v>46</v>
      </c>
      <c r="M1112" t="s">
        <v>74</v>
      </c>
      <c r="N1112" t="s">
        <v>5343</v>
      </c>
      <c r="O1112" t="s">
        <v>67</v>
      </c>
      <c r="P1112" t="s">
        <v>350</v>
      </c>
      <c r="Q1112" t="s">
        <v>5344</v>
      </c>
      <c r="R1112">
        <v>250.79</v>
      </c>
      <c r="S1112">
        <v>1</v>
      </c>
      <c r="T1112">
        <v>0.3</v>
      </c>
      <c r="U1112">
        <v>62.13</v>
      </c>
    </row>
    <row r="1113" spans="1:21" x14ac:dyDescent="0.35">
      <c r="A1113" t="s">
        <v>5345</v>
      </c>
      <c r="B1113" s="2">
        <v>43361</v>
      </c>
      <c r="C1113" s="2" t="str">
        <f t="shared" si="34"/>
        <v>September</v>
      </c>
      <c r="D1113" s="2" t="str">
        <f t="shared" si="35"/>
        <v>2018</v>
      </c>
      <c r="E1113" s="2" t="s">
        <v>6142</v>
      </c>
      <c r="F1113" t="s">
        <v>62</v>
      </c>
      <c r="G1113" t="s">
        <v>5346</v>
      </c>
      <c r="H1113" t="s">
        <v>551</v>
      </c>
      <c r="I1113" t="s">
        <v>23</v>
      </c>
      <c r="J1113" t="s">
        <v>24</v>
      </c>
      <c r="K1113" t="s">
        <v>45</v>
      </c>
      <c r="L1113" t="s">
        <v>46</v>
      </c>
      <c r="M1113" t="s">
        <v>57</v>
      </c>
      <c r="N1113" t="s">
        <v>5347</v>
      </c>
      <c r="O1113" t="s">
        <v>48</v>
      </c>
      <c r="P1113" t="s">
        <v>128</v>
      </c>
      <c r="Q1113" t="s">
        <v>5348</v>
      </c>
      <c r="R1113">
        <v>1640.17</v>
      </c>
      <c r="S1113">
        <v>9</v>
      </c>
      <c r="T1113">
        <v>0.2</v>
      </c>
      <c r="U1113">
        <v>37.549999999999997</v>
      </c>
    </row>
    <row r="1114" spans="1:21" x14ac:dyDescent="0.35">
      <c r="A1114" t="s">
        <v>5349</v>
      </c>
      <c r="B1114" s="2">
        <v>42606</v>
      </c>
      <c r="C1114" s="2" t="str">
        <f t="shared" si="34"/>
        <v>August</v>
      </c>
      <c r="D1114" s="2" t="str">
        <f t="shared" si="35"/>
        <v>2016</v>
      </c>
      <c r="E1114" s="2" t="s">
        <v>6335</v>
      </c>
      <c r="F1114" t="s">
        <v>52</v>
      </c>
      <c r="G1114" t="s">
        <v>5350</v>
      </c>
      <c r="H1114" t="s">
        <v>720</v>
      </c>
      <c r="I1114" t="s">
        <v>55</v>
      </c>
      <c r="J1114" t="s">
        <v>24</v>
      </c>
      <c r="K1114" t="s">
        <v>103</v>
      </c>
      <c r="L1114" t="s">
        <v>82</v>
      </c>
      <c r="M1114" t="s">
        <v>83</v>
      </c>
      <c r="N1114" t="s">
        <v>5351</v>
      </c>
      <c r="O1114" t="s">
        <v>67</v>
      </c>
      <c r="P1114" t="s">
        <v>229</v>
      </c>
      <c r="Q1114" t="s">
        <v>5352</v>
      </c>
      <c r="R1114">
        <v>1264.72</v>
      </c>
      <c r="S1114">
        <v>1</v>
      </c>
      <c r="T1114">
        <v>0</v>
      </c>
      <c r="U1114">
        <v>104.28</v>
      </c>
    </row>
    <row r="1115" spans="1:21" x14ac:dyDescent="0.35">
      <c r="A1115" t="s">
        <v>5353</v>
      </c>
      <c r="B1115" s="2">
        <v>42413</v>
      </c>
      <c r="C1115" s="2" t="str">
        <f t="shared" si="34"/>
        <v>February</v>
      </c>
      <c r="D1115" s="2" t="str">
        <f t="shared" si="35"/>
        <v>2016</v>
      </c>
      <c r="E1115" s="2" t="s">
        <v>6174</v>
      </c>
      <c r="F1115" t="s">
        <v>42</v>
      </c>
      <c r="G1115" t="s">
        <v>5354</v>
      </c>
      <c r="H1115" t="s">
        <v>4184</v>
      </c>
      <c r="I1115" t="s">
        <v>35</v>
      </c>
      <c r="J1115" t="s">
        <v>24</v>
      </c>
      <c r="K1115" t="s">
        <v>133</v>
      </c>
      <c r="L1115" t="s">
        <v>26</v>
      </c>
      <c r="M1115" t="s">
        <v>27</v>
      </c>
      <c r="N1115" t="s">
        <v>5355</v>
      </c>
      <c r="O1115" t="s">
        <v>48</v>
      </c>
      <c r="P1115" t="s">
        <v>49</v>
      </c>
      <c r="Q1115" t="s">
        <v>5356</v>
      </c>
      <c r="R1115">
        <v>476.13</v>
      </c>
      <c r="S1115">
        <v>1</v>
      </c>
      <c r="T1115">
        <v>0.4</v>
      </c>
      <c r="U1115">
        <v>111.32</v>
      </c>
    </row>
    <row r="1116" spans="1:21" x14ac:dyDescent="0.35">
      <c r="A1116" t="s">
        <v>5357</v>
      </c>
      <c r="B1116" s="2">
        <v>42760</v>
      </c>
      <c r="C1116" s="2" t="str">
        <f t="shared" si="34"/>
        <v>January</v>
      </c>
      <c r="D1116" s="2" t="str">
        <f t="shared" si="35"/>
        <v>2017</v>
      </c>
      <c r="E1116" s="2" t="s">
        <v>6131</v>
      </c>
      <c r="F1116" t="s">
        <v>62</v>
      </c>
      <c r="G1116" t="s">
        <v>5358</v>
      </c>
      <c r="H1116" t="s">
        <v>5359</v>
      </c>
      <c r="I1116" t="s">
        <v>55</v>
      </c>
      <c r="J1116" t="s">
        <v>24</v>
      </c>
      <c r="K1116" t="s">
        <v>36</v>
      </c>
      <c r="L1116" t="s">
        <v>36</v>
      </c>
      <c r="M1116" t="s">
        <v>83</v>
      </c>
      <c r="N1116" t="s">
        <v>5360</v>
      </c>
      <c r="O1116" t="s">
        <v>67</v>
      </c>
      <c r="P1116" t="s">
        <v>229</v>
      </c>
      <c r="Q1116" t="s">
        <v>5361</v>
      </c>
      <c r="R1116">
        <v>826.72</v>
      </c>
      <c r="S1116">
        <v>4</v>
      </c>
      <c r="T1116">
        <v>0.3</v>
      </c>
      <c r="U1116">
        <v>345.7</v>
      </c>
    </row>
    <row r="1117" spans="1:21" x14ac:dyDescent="0.35">
      <c r="A1117" t="s">
        <v>5362</v>
      </c>
      <c r="B1117" s="2">
        <v>43624</v>
      </c>
      <c r="C1117" s="2" t="str">
        <f t="shared" si="34"/>
        <v>June</v>
      </c>
      <c r="D1117" s="2" t="str">
        <f t="shared" si="35"/>
        <v>2019</v>
      </c>
      <c r="E1117" s="2" t="s">
        <v>6172</v>
      </c>
      <c r="F1117" t="s">
        <v>42</v>
      </c>
      <c r="G1117" t="s">
        <v>5363</v>
      </c>
      <c r="H1117" t="s">
        <v>5364</v>
      </c>
      <c r="I1117" t="s">
        <v>23</v>
      </c>
      <c r="J1117" t="s">
        <v>24</v>
      </c>
      <c r="K1117" t="s">
        <v>212</v>
      </c>
      <c r="L1117" t="s">
        <v>46</v>
      </c>
      <c r="M1117" t="s">
        <v>74</v>
      </c>
      <c r="N1117" t="s">
        <v>5365</v>
      </c>
      <c r="O1117" t="s">
        <v>67</v>
      </c>
      <c r="P1117" t="s">
        <v>68</v>
      </c>
      <c r="Q1117" t="s">
        <v>3969</v>
      </c>
      <c r="R1117">
        <v>404.9</v>
      </c>
      <c r="S1117">
        <v>7</v>
      </c>
      <c r="T1117">
        <v>0</v>
      </c>
      <c r="U1117">
        <v>-95.59</v>
      </c>
    </row>
    <row r="1118" spans="1:21" x14ac:dyDescent="0.35">
      <c r="A1118" t="s">
        <v>5366</v>
      </c>
      <c r="B1118" s="2">
        <v>42578</v>
      </c>
      <c r="C1118" s="2" t="str">
        <f t="shared" si="34"/>
        <v>July</v>
      </c>
      <c r="D1118" s="2" t="str">
        <f t="shared" si="35"/>
        <v>2016</v>
      </c>
      <c r="E1118" s="2">
        <v>42498</v>
      </c>
      <c r="F1118" t="s">
        <v>62</v>
      </c>
      <c r="G1118" t="s">
        <v>5367</v>
      </c>
      <c r="H1118" t="s">
        <v>5368</v>
      </c>
      <c r="I1118" t="s">
        <v>55</v>
      </c>
      <c r="J1118" t="s">
        <v>24</v>
      </c>
      <c r="K1118" t="s">
        <v>25</v>
      </c>
      <c r="L1118" t="s">
        <v>37</v>
      </c>
      <c r="M1118" t="s">
        <v>57</v>
      </c>
      <c r="N1118" t="s">
        <v>5369</v>
      </c>
      <c r="O1118" t="s">
        <v>29</v>
      </c>
      <c r="P1118" t="s">
        <v>155</v>
      </c>
      <c r="Q1118" t="s">
        <v>5370</v>
      </c>
      <c r="R1118">
        <v>1823.23</v>
      </c>
      <c r="S1118">
        <v>6</v>
      </c>
      <c r="T1118">
        <v>0</v>
      </c>
      <c r="U1118">
        <v>-22.87</v>
      </c>
    </row>
    <row r="1119" spans="1:21" x14ac:dyDescent="0.35">
      <c r="A1119" t="s">
        <v>5371</v>
      </c>
      <c r="B1119" s="2">
        <v>42556</v>
      </c>
      <c r="C1119" s="2" t="str">
        <f t="shared" si="34"/>
        <v>July</v>
      </c>
      <c r="D1119" s="2" t="str">
        <f t="shared" si="35"/>
        <v>2016</v>
      </c>
      <c r="E1119" s="2">
        <v>42681</v>
      </c>
      <c r="F1119" t="s">
        <v>52</v>
      </c>
      <c r="G1119" t="s">
        <v>5372</v>
      </c>
      <c r="H1119" t="s">
        <v>5373</v>
      </c>
      <c r="I1119" t="s">
        <v>35</v>
      </c>
      <c r="J1119" t="s">
        <v>24</v>
      </c>
      <c r="K1119" t="s">
        <v>25</v>
      </c>
      <c r="L1119" t="s">
        <v>26</v>
      </c>
      <c r="M1119" t="s">
        <v>83</v>
      </c>
      <c r="N1119" t="s">
        <v>5374</v>
      </c>
      <c r="O1119" t="s">
        <v>29</v>
      </c>
      <c r="P1119" t="s">
        <v>155</v>
      </c>
      <c r="Q1119" t="s">
        <v>5375</v>
      </c>
      <c r="R1119">
        <v>103.31</v>
      </c>
      <c r="S1119">
        <v>3</v>
      </c>
      <c r="T1119">
        <v>0</v>
      </c>
      <c r="U1119">
        <v>-27.9</v>
      </c>
    </row>
    <row r="1120" spans="1:21" x14ac:dyDescent="0.35">
      <c r="A1120" t="s">
        <v>5376</v>
      </c>
      <c r="B1120" s="2">
        <v>43489</v>
      </c>
      <c r="C1120" s="2" t="str">
        <f t="shared" si="34"/>
        <v>January</v>
      </c>
      <c r="D1120" s="2" t="str">
        <f t="shared" si="35"/>
        <v>2019</v>
      </c>
      <c r="E1120" s="2">
        <v>43498</v>
      </c>
      <c r="F1120" t="s">
        <v>42</v>
      </c>
      <c r="G1120" t="s">
        <v>5377</v>
      </c>
      <c r="H1120" t="s">
        <v>5378</v>
      </c>
      <c r="I1120" t="s">
        <v>23</v>
      </c>
      <c r="J1120" t="s">
        <v>24</v>
      </c>
      <c r="K1120" t="s">
        <v>81</v>
      </c>
      <c r="L1120" t="s">
        <v>56</v>
      </c>
      <c r="M1120" t="s">
        <v>83</v>
      </c>
      <c r="N1120" t="s">
        <v>5379</v>
      </c>
      <c r="O1120" t="s">
        <v>48</v>
      </c>
      <c r="P1120" t="s">
        <v>59</v>
      </c>
      <c r="Q1120" t="s">
        <v>5380</v>
      </c>
      <c r="R1120">
        <v>55.65</v>
      </c>
      <c r="S1120">
        <v>4</v>
      </c>
      <c r="T1120">
        <v>0.4</v>
      </c>
      <c r="U1120">
        <v>5.36</v>
      </c>
    </row>
    <row r="1121" spans="1:21" x14ac:dyDescent="0.35">
      <c r="A1121" t="s">
        <v>5381</v>
      </c>
      <c r="B1121" s="2">
        <v>42458</v>
      </c>
      <c r="C1121" s="2" t="str">
        <f t="shared" si="34"/>
        <v>March</v>
      </c>
      <c r="D1121" s="2" t="str">
        <f t="shared" si="35"/>
        <v>2016</v>
      </c>
      <c r="E1121" s="2">
        <v>42525</v>
      </c>
      <c r="F1121" t="s">
        <v>62</v>
      </c>
      <c r="G1121" t="s">
        <v>5382</v>
      </c>
      <c r="H1121" t="s">
        <v>4094</v>
      </c>
      <c r="I1121" t="s">
        <v>23</v>
      </c>
      <c r="J1121" t="s">
        <v>24</v>
      </c>
      <c r="K1121" t="s">
        <v>103</v>
      </c>
      <c r="L1121" t="s">
        <v>46</v>
      </c>
      <c r="M1121" t="s">
        <v>74</v>
      </c>
      <c r="N1121" t="s">
        <v>5383</v>
      </c>
      <c r="O1121" t="s">
        <v>67</v>
      </c>
      <c r="P1121" t="s">
        <v>68</v>
      </c>
      <c r="Q1121" t="s">
        <v>5384</v>
      </c>
      <c r="R1121">
        <v>471.9</v>
      </c>
      <c r="S1121">
        <v>6</v>
      </c>
      <c r="T1121">
        <v>0.1</v>
      </c>
      <c r="U1121">
        <v>52.66</v>
      </c>
    </row>
    <row r="1122" spans="1:21" x14ac:dyDescent="0.35">
      <c r="A1122" t="s">
        <v>5385</v>
      </c>
      <c r="B1122" s="2">
        <v>42837</v>
      </c>
      <c r="C1122" s="2" t="str">
        <f t="shared" si="34"/>
        <v>April</v>
      </c>
      <c r="D1122" s="2" t="str">
        <f t="shared" si="35"/>
        <v>2017</v>
      </c>
      <c r="E1122" s="2" t="s">
        <v>6124</v>
      </c>
      <c r="F1122" t="s">
        <v>42</v>
      </c>
      <c r="G1122" t="s">
        <v>5386</v>
      </c>
      <c r="H1122" t="s">
        <v>5387</v>
      </c>
      <c r="I1122" t="s">
        <v>35</v>
      </c>
      <c r="J1122" t="s">
        <v>24</v>
      </c>
      <c r="K1122" t="s">
        <v>81</v>
      </c>
      <c r="L1122" t="s">
        <v>56</v>
      </c>
      <c r="M1122" t="s">
        <v>74</v>
      </c>
      <c r="N1122" t="s">
        <v>5388</v>
      </c>
      <c r="O1122" t="s">
        <v>29</v>
      </c>
      <c r="P1122" t="s">
        <v>39</v>
      </c>
      <c r="Q1122" t="s">
        <v>5389</v>
      </c>
      <c r="R1122">
        <v>1244.22</v>
      </c>
      <c r="S1122">
        <v>5</v>
      </c>
      <c r="T1122">
        <v>0</v>
      </c>
      <c r="U1122">
        <v>-60.72</v>
      </c>
    </row>
    <row r="1123" spans="1:21" x14ac:dyDescent="0.35">
      <c r="A1123" t="s">
        <v>5390</v>
      </c>
      <c r="B1123" s="2">
        <v>43631</v>
      </c>
      <c r="C1123" s="2" t="str">
        <f t="shared" si="34"/>
        <v>June</v>
      </c>
      <c r="D1123" s="2" t="str">
        <f t="shared" si="35"/>
        <v>2019</v>
      </c>
      <c r="E1123" s="2" t="s">
        <v>6384</v>
      </c>
      <c r="F1123" t="s">
        <v>52</v>
      </c>
      <c r="G1123" t="s">
        <v>5391</v>
      </c>
      <c r="H1123" t="s">
        <v>5392</v>
      </c>
      <c r="I1123" t="s">
        <v>55</v>
      </c>
      <c r="J1123" t="s">
        <v>24</v>
      </c>
      <c r="K1123" t="s">
        <v>73</v>
      </c>
      <c r="L1123" t="s">
        <v>82</v>
      </c>
      <c r="M1123" t="s">
        <v>74</v>
      </c>
      <c r="N1123" t="s">
        <v>5393</v>
      </c>
      <c r="O1123" t="s">
        <v>67</v>
      </c>
      <c r="P1123" t="s">
        <v>197</v>
      </c>
      <c r="Q1123" t="s">
        <v>5394</v>
      </c>
      <c r="R1123">
        <v>737.79</v>
      </c>
      <c r="S1123">
        <v>3</v>
      </c>
      <c r="T1123">
        <v>0</v>
      </c>
      <c r="U1123">
        <v>366.52</v>
      </c>
    </row>
    <row r="1124" spans="1:21" x14ac:dyDescent="0.35">
      <c r="A1124" t="s">
        <v>5395</v>
      </c>
      <c r="B1124" s="2">
        <v>42835</v>
      </c>
      <c r="C1124" s="2" t="str">
        <f t="shared" si="34"/>
        <v>April</v>
      </c>
      <c r="D1124" s="2" t="str">
        <f t="shared" si="35"/>
        <v>2017</v>
      </c>
      <c r="E1124" s="2" t="s">
        <v>5985</v>
      </c>
      <c r="F1124" t="s">
        <v>62</v>
      </c>
      <c r="G1124" t="s">
        <v>5396</v>
      </c>
      <c r="H1124" t="s">
        <v>5397</v>
      </c>
      <c r="I1124" t="s">
        <v>23</v>
      </c>
      <c r="J1124" t="s">
        <v>24</v>
      </c>
      <c r="K1124" t="s">
        <v>81</v>
      </c>
      <c r="L1124" t="s">
        <v>90</v>
      </c>
      <c r="M1124" t="s">
        <v>83</v>
      </c>
      <c r="N1124" t="s">
        <v>5398</v>
      </c>
      <c r="O1124" t="s">
        <v>29</v>
      </c>
      <c r="P1124" t="s">
        <v>30</v>
      </c>
      <c r="Q1124" t="s">
        <v>5399</v>
      </c>
      <c r="R1124">
        <v>229.24</v>
      </c>
      <c r="S1124">
        <v>10</v>
      </c>
      <c r="T1124">
        <v>0.4</v>
      </c>
      <c r="U1124">
        <v>-28.85</v>
      </c>
    </row>
    <row r="1125" spans="1:21" x14ac:dyDescent="0.35">
      <c r="A1125" t="s">
        <v>5400</v>
      </c>
      <c r="B1125" s="2">
        <v>42854</v>
      </c>
      <c r="C1125" s="2" t="str">
        <f t="shared" si="34"/>
        <v>April</v>
      </c>
      <c r="D1125" s="2" t="str">
        <f t="shared" si="35"/>
        <v>2017</v>
      </c>
      <c r="E1125" s="2">
        <v>42860</v>
      </c>
      <c r="F1125" t="s">
        <v>62</v>
      </c>
      <c r="G1125" t="s">
        <v>5401</v>
      </c>
      <c r="H1125" t="s">
        <v>5402</v>
      </c>
      <c r="I1125" t="s">
        <v>23</v>
      </c>
      <c r="J1125" t="s">
        <v>24</v>
      </c>
      <c r="K1125" t="s">
        <v>36</v>
      </c>
      <c r="L1125" t="s">
        <v>115</v>
      </c>
      <c r="M1125" t="s">
        <v>83</v>
      </c>
      <c r="N1125" t="s">
        <v>5403</v>
      </c>
      <c r="O1125" t="s">
        <v>29</v>
      </c>
      <c r="P1125" t="s">
        <v>30</v>
      </c>
      <c r="Q1125" t="s">
        <v>5404</v>
      </c>
      <c r="R1125">
        <v>1489.86</v>
      </c>
      <c r="S1125">
        <v>7</v>
      </c>
      <c r="T1125">
        <v>0.3</v>
      </c>
      <c r="U1125">
        <v>670.37</v>
      </c>
    </row>
    <row r="1126" spans="1:21" x14ac:dyDescent="0.35">
      <c r="A1126" t="s">
        <v>5405</v>
      </c>
      <c r="B1126" s="2">
        <v>42392</v>
      </c>
      <c r="C1126" s="2" t="str">
        <f t="shared" si="34"/>
        <v>January</v>
      </c>
      <c r="D1126" s="2" t="str">
        <f t="shared" si="35"/>
        <v>2016</v>
      </c>
      <c r="E1126" s="2" t="s">
        <v>5984</v>
      </c>
      <c r="F1126" t="s">
        <v>52</v>
      </c>
      <c r="G1126" t="s">
        <v>5406</v>
      </c>
      <c r="H1126" t="s">
        <v>5407</v>
      </c>
      <c r="I1126" t="s">
        <v>55</v>
      </c>
      <c r="J1126" t="s">
        <v>24</v>
      </c>
      <c r="K1126" t="s">
        <v>89</v>
      </c>
      <c r="L1126" t="s">
        <v>115</v>
      </c>
      <c r="M1126" t="s">
        <v>27</v>
      </c>
      <c r="N1126" t="s">
        <v>5408</v>
      </c>
      <c r="O1126" t="s">
        <v>29</v>
      </c>
      <c r="P1126" t="s">
        <v>39</v>
      </c>
      <c r="Q1126" t="s">
        <v>5409</v>
      </c>
      <c r="R1126">
        <v>1973.49</v>
      </c>
      <c r="S1126">
        <v>8</v>
      </c>
      <c r="T1126">
        <v>0</v>
      </c>
      <c r="U1126">
        <v>-218.91</v>
      </c>
    </row>
    <row r="1127" spans="1:21" x14ac:dyDescent="0.35">
      <c r="A1127" t="s">
        <v>5410</v>
      </c>
      <c r="B1127" s="2">
        <v>43470</v>
      </c>
      <c r="C1127" s="2" t="str">
        <f t="shared" si="34"/>
        <v>January</v>
      </c>
      <c r="D1127" s="2" t="str">
        <f t="shared" si="35"/>
        <v>2019</v>
      </c>
      <c r="E1127" s="2">
        <v>43617</v>
      </c>
      <c r="F1127" t="s">
        <v>42</v>
      </c>
      <c r="G1127" t="s">
        <v>5411</v>
      </c>
      <c r="H1127" t="s">
        <v>1798</v>
      </c>
      <c r="I1127" t="s">
        <v>23</v>
      </c>
      <c r="J1127" t="s">
        <v>24</v>
      </c>
      <c r="K1127" t="s">
        <v>73</v>
      </c>
      <c r="L1127" t="s">
        <v>46</v>
      </c>
      <c r="M1127" t="s">
        <v>83</v>
      </c>
      <c r="N1127" t="s">
        <v>5412</v>
      </c>
      <c r="O1127" t="s">
        <v>67</v>
      </c>
      <c r="P1127" t="s">
        <v>229</v>
      </c>
      <c r="Q1127" t="s">
        <v>5413</v>
      </c>
      <c r="R1127">
        <v>1784.4</v>
      </c>
      <c r="S1127">
        <v>1</v>
      </c>
      <c r="T1127">
        <v>0</v>
      </c>
      <c r="U1127">
        <v>765.57</v>
      </c>
    </row>
    <row r="1128" spans="1:21" x14ac:dyDescent="0.35">
      <c r="A1128" t="s">
        <v>5414</v>
      </c>
      <c r="B1128" s="2">
        <v>42631</v>
      </c>
      <c r="C1128" s="2" t="str">
        <f t="shared" si="34"/>
        <v>September</v>
      </c>
      <c r="D1128" s="2" t="str">
        <f t="shared" si="35"/>
        <v>2016</v>
      </c>
      <c r="E1128" s="2" t="s">
        <v>6218</v>
      </c>
      <c r="F1128" t="s">
        <v>42</v>
      </c>
      <c r="G1128" t="s">
        <v>5415</v>
      </c>
      <c r="H1128" t="s">
        <v>5416</v>
      </c>
      <c r="I1128" t="s">
        <v>23</v>
      </c>
      <c r="J1128" t="s">
        <v>24</v>
      </c>
      <c r="K1128" t="s">
        <v>97</v>
      </c>
      <c r="L1128" t="s">
        <v>65</v>
      </c>
      <c r="M1128" t="s">
        <v>74</v>
      </c>
      <c r="N1128" t="s">
        <v>5417</v>
      </c>
      <c r="O1128" t="s">
        <v>48</v>
      </c>
      <c r="P1128" t="s">
        <v>59</v>
      </c>
      <c r="Q1128" t="s">
        <v>5418</v>
      </c>
      <c r="R1128">
        <v>737.57</v>
      </c>
      <c r="S1128">
        <v>7</v>
      </c>
      <c r="T1128">
        <v>0</v>
      </c>
      <c r="U1128">
        <v>222.74</v>
      </c>
    </row>
    <row r="1129" spans="1:21" x14ac:dyDescent="0.35">
      <c r="A1129" t="s">
        <v>5419</v>
      </c>
      <c r="B1129" s="2">
        <v>42693</v>
      </c>
      <c r="C1129" s="2" t="str">
        <f t="shared" si="34"/>
        <v>November</v>
      </c>
      <c r="D1129" s="2" t="str">
        <f t="shared" si="35"/>
        <v>2016</v>
      </c>
      <c r="E1129" s="2" t="s">
        <v>6263</v>
      </c>
      <c r="F1129" t="s">
        <v>20</v>
      </c>
      <c r="G1129" t="s">
        <v>5420</v>
      </c>
      <c r="H1129" t="s">
        <v>2568</v>
      </c>
      <c r="I1129" t="s">
        <v>35</v>
      </c>
      <c r="J1129" t="s">
        <v>24</v>
      </c>
      <c r="K1129" t="s">
        <v>212</v>
      </c>
      <c r="L1129" t="s">
        <v>46</v>
      </c>
      <c r="M1129" t="s">
        <v>57</v>
      </c>
      <c r="N1129" t="s">
        <v>5421</v>
      </c>
      <c r="O1129" t="s">
        <v>48</v>
      </c>
      <c r="P1129" t="s">
        <v>76</v>
      </c>
      <c r="Q1129" t="s">
        <v>5422</v>
      </c>
      <c r="R1129">
        <v>1512.48</v>
      </c>
      <c r="S1129">
        <v>5</v>
      </c>
      <c r="T1129">
        <v>0</v>
      </c>
      <c r="U1129">
        <v>-279.81</v>
      </c>
    </row>
    <row r="1130" spans="1:21" x14ac:dyDescent="0.35">
      <c r="A1130" t="s">
        <v>5423</v>
      </c>
      <c r="B1130" s="2">
        <v>43307</v>
      </c>
      <c r="C1130" s="2" t="str">
        <f t="shared" si="34"/>
        <v>July</v>
      </c>
      <c r="D1130" s="2" t="str">
        <f t="shared" si="35"/>
        <v>2018</v>
      </c>
      <c r="E1130" s="2">
        <v>43198</v>
      </c>
      <c r="F1130" t="s">
        <v>52</v>
      </c>
      <c r="G1130" t="s">
        <v>5424</v>
      </c>
      <c r="H1130" t="s">
        <v>5425</v>
      </c>
      <c r="I1130" t="s">
        <v>35</v>
      </c>
      <c r="J1130" t="s">
        <v>24</v>
      </c>
      <c r="K1130" t="s">
        <v>133</v>
      </c>
      <c r="L1130" t="s">
        <v>115</v>
      </c>
      <c r="M1130" t="s">
        <v>83</v>
      </c>
      <c r="N1130" t="s">
        <v>5426</v>
      </c>
      <c r="O1130" t="s">
        <v>67</v>
      </c>
      <c r="P1130" t="s">
        <v>229</v>
      </c>
      <c r="Q1130" t="s">
        <v>5427</v>
      </c>
      <c r="R1130">
        <v>853.44</v>
      </c>
      <c r="S1130">
        <v>6</v>
      </c>
      <c r="T1130">
        <v>0</v>
      </c>
      <c r="U1130">
        <v>30.22</v>
      </c>
    </row>
    <row r="1131" spans="1:21" x14ac:dyDescent="0.35">
      <c r="A1131" t="s">
        <v>5428</v>
      </c>
      <c r="B1131" s="2">
        <v>42934</v>
      </c>
      <c r="C1131" s="2" t="str">
        <f t="shared" si="34"/>
        <v>July</v>
      </c>
      <c r="D1131" s="2" t="str">
        <f t="shared" si="35"/>
        <v>2017</v>
      </c>
      <c r="E1131" s="2" t="s">
        <v>6064</v>
      </c>
      <c r="F1131" t="s">
        <v>42</v>
      </c>
      <c r="G1131" t="s">
        <v>5429</v>
      </c>
      <c r="H1131" t="s">
        <v>5430</v>
      </c>
      <c r="I1131" t="s">
        <v>35</v>
      </c>
      <c r="J1131" t="s">
        <v>24</v>
      </c>
      <c r="K1131" t="s">
        <v>133</v>
      </c>
      <c r="L1131" t="s">
        <v>170</v>
      </c>
      <c r="M1131" t="s">
        <v>57</v>
      </c>
      <c r="N1131" t="s">
        <v>5431</v>
      </c>
      <c r="O1131" t="s">
        <v>29</v>
      </c>
      <c r="P1131" t="s">
        <v>110</v>
      </c>
      <c r="Q1131" t="s">
        <v>5432</v>
      </c>
      <c r="R1131">
        <v>859.78</v>
      </c>
      <c r="S1131">
        <v>3</v>
      </c>
      <c r="T1131">
        <v>0.2</v>
      </c>
      <c r="U1131">
        <v>33.65</v>
      </c>
    </row>
    <row r="1132" spans="1:21" x14ac:dyDescent="0.35">
      <c r="A1132" t="s">
        <v>5433</v>
      </c>
      <c r="B1132" s="2">
        <v>43548</v>
      </c>
      <c r="C1132" s="2" t="str">
        <f t="shared" si="34"/>
        <v>March</v>
      </c>
      <c r="D1132" s="2" t="str">
        <f t="shared" si="35"/>
        <v>2019</v>
      </c>
      <c r="E1132" s="2">
        <v>43500</v>
      </c>
      <c r="F1132" t="s">
        <v>20</v>
      </c>
      <c r="G1132" t="s">
        <v>5434</v>
      </c>
      <c r="H1132" t="s">
        <v>5435</v>
      </c>
      <c r="I1132" t="s">
        <v>35</v>
      </c>
      <c r="J1132" t="s">
        <v>24</v>
      </c>
      <c r="K1132" t="s">
        <v>133</v>
      </c>
      <c r="L1132" t="s">
        <v>37</v>
      </c>
      <c r="M1132" t="s">
        <v>74</v>
      </c>
      <c r="N1132" t="s">
        <v>5436</v>
      </c>
      <c r="O1132" t="s">
        <v>48</v>
      </c>
      <c r="P1132" t="s">
        <v>76</v>
      </c>
      <c r="Q1132" t="s">
        <v>5437</v>
      </c>
      <c r="R1132">
        <v>491.63</v>
      </c>
      <c r="S1132">
        <v>6</v>
      </c>
      <c r="T1132">
        <v>0</v>
      </c>
      <c r="U1132">
        <v>160.97999999999999</v>
      </c>
    </row>
    <row r="1133" spans="1:21" x14ac:dyDescent="0.35">
      <c r="A1133" t="s">
        <v>5438</v>
      </c>
      <c r="B1133" s="2">
        <v>43005</v>
      </c>
      <c r="C1133" s="2" t="str">
        <f t="shared" si="34"/>
        <v>September</v>
      </c>
      <c r="D1133" s="2" t="str">
        <f t="shared" si="35"/>
        <v>2017</v>
      </c>
      <c r="E1133" s="2">
        <v>42776</v>
      </c>
      <c r="F1133" t="s">
        <v>52</v>
      </c>
      <c r="G1133" t="s">
        <v>5439</v>
      </c>
      <c r="H1133" t="s">
        <v>1940</v>
      </c>
      <c r="I1133" t="s">
        <v>23</v>
      </c>
      <c r="J1133" t="s">
        <v>24</v>
      </c>
      <c r="K1133" t="s">
        <v>212</v>
      </c>
      <c r="L1133" t="s">
        <v>37</v>
      </c>
      <c r="M1133" t="s">
        <v>27</v>
      </c>
      <c r="N1133" t="s">
        <v>5440</v>
      </c>
      <c r="O1133" t="s">
        <v>29</v>
      </c>
      <c r="P1133" t="s">
        <v>39</v>
      </c>
      <c r="Q1133" t="s">
        <v>5441</v>
      </c>
      <c r="R1133">
        <v>540.15</v>
      </c>
      <c r="S1133">
        <v>9</v>
      </c>
      <c r="T1133">
        <v>0.3</v>
      </c>
      <c r="U1133">
        <v>167.99</v>
      </c>
    </row>
    <row r="1134" spans="1:21" x14ac:dyDescent="0.35">
      <c r="A1134" t="s">
        <v>5442</v>
      </c>
      <c r="B1134" s="2">
        <v>43328</v>
      </c>
      <c r="C1134" s="2" t="str">
        <f t="shared" si="34"/>
        <v>August</v>
      </c>
      <c r="D1134" s="2" t="str">
        <f t="shared" si="35"/>
        <v>2018</v>
      </c>
      <c r="E1134" s="2" t="s">
        <v>6373</v>
      </c>
      <c r="F1134" t="s">
        <v>42</v>
      </c>
      <c r="G1134" t="s">
        <v>5443</v>
      </c>
      <c r="H1134" t="s">
        <v>5444</v>
      </c>
      <c r="I1134" t="s">
        <v>55</v>
      </c>
      <c r="J1134" t="s">
        <v>24</v>
      </c>
      <c r="K1134" t="s">
        <v>103</v>
      </c>
      <c r="L1134" t="s">
        <v>170</v>
      </c>
      <c r="M1134" t="s">
        <v>27</v>
      </c>
      <c r="N1134" t="s">
        <v>5445</v>
      </c>
      <c r="O1134" t="s">
        <v>29</v>
      </c>
      <c r="P1134" t="s">
        <v>155</v>
      </c>
      <c r="Q1134" t="s">
        <v>5446</v>
      </c>
      <c r="R1134">
        <v>13.46</v>
      </c>
      <c r="S1134">
        <v>9</v>
      </c>
      <c r="T1134">
        <v>0</v>
      </c>
      <c r="U1134">
        <v>-3.45</v>
      </c>
    </row>
    <row r="1135" spans="1:21" x14ac:dyDescent="0.35">
      <c r="A1135" t="s">
        <v>5447</v>
      </c>
      <c r="B1135" s="2">
        <v>42584</v>
      </c>
      <c r="C1135" s="2" t="str">
        <f t="shared" si="34"/>
        <v>August</v>
      </c>
      <c r="D1135" s="2" t="str">
        <f t="shared" si="35"/>
        <v>2016</v>
      </c>
      <c r="E1135" s="2">
        <v>42437</v>
      </c>
      <c r="F1135" t="s">
        <v>62</v>
      </c>
      <c r="G1135" t="s">
        <v>5448</v>
      </c>
      <c r="H1135" t="s">
        <v>5449</v>
      </c>
      <c r="I1135" t="s">
        <v>23</v>
      </c>
      <c r="J1135" t="s">
        <v>24</v>
      </c>
      <c r="K1135" t="s">
        <v>45</v>
      </c>
      <c r="L1135" t="s">
        <v>46</v>
      </c>
      <c r="M1135" t="s">
        <v>74</v>
      </c>
      <c r="N1135" t="s">
        <v>5450</v>
      </c>
      <c r="O1135" t="s">
        <v>29</v>
      </c>
      <c r="P1135" t="s">
        <v>30</v>
      </c>
      <c r="Q1135" t="s">
        <v>5451</v>
      </c>
      <c r="R1135">
        <v>510.63</v>
      </c>
      <c r="S1135">
        <v>5</v>
      </c>
      <c r="T1135">
        <v>0</v>
      </c>
      <c r="U1135">
        <v>-127.22</v>
      </c>
    </row>
    <row r="1136" spans="1:21" x14ac:dyDescent="0.35">
      <c r="A1136" t="s">
        <v>5452</v>
      </c>
      <c r="B1136" s="2">
        <v>42418</v>
      </c>
      <c r="C1136" s="2" t="str">
        <f t="shared" si="34"/>
        <v>February</v>
      </c>
      <c r="D1136" s="2" t="str">
        <f t="shared" si="35"/>
        <v>2016</v>
      </c>
      <c r="E1136" s="2" t="s">
        <v>6146</v>
      </c>
      <c r="F1136" t="s">
        <v>62</v>
      </c>
      <c r="G1136" t="s">
        <v>5453</v>
      </c>
      <c r="H1136" t="s">
        <v>4560</v>
      </c>
      <c r="I1136" t="s">
        <v>23</v>
      </c>
      <c r="J1136" t="s">
        <v>24</v>
      </c>
      <c r="K1136" t="s">
        <v>73</v>
      </c>
      <c r="L1136" t="s">
        <v>37</v>
      </c>
      <c r="M1136" t="s">
        <v>57</v>
      </c>
      <c r="N1136" t="s">
        <v>5454</v>
      </c>
      <c r="O1136" t="s">
        <v>67</v>
      </c>
      <c r="P1136" t="s">
        <v>197</v>
      </c>
      <c r="Q1136" t="s">
        <v>5455</v>
      </c>
      <c r="R1136">
        <v>342.31</v>
      </c>
      <c r="S1136">
        <v>6</v>
      </c>
      <c r="T1136">
        <v>0.4</v>
      </c>
      <c r="U1136">
        <v>138.1</v>
      </c>
    </row>
    <row r="1137" spans="1:21" x14ac:dyDescent="0.35">
      <c r="A1137" t="s">
        <v>5456</v>
      </c>
      <c r="B1137" s="2">
        <v>42520</v>
      </c>
      <c r="C1137" s="2" t="str">
        <f t="shared" si="34"/>
        <v>May</v>
      </c>
      <c r="D1137" s="2" t="str">
        <f t="shared" si="35"/>
        <v>2016</v>
      </c>
      <c r="E1137" s="2">
        <v>42496</v>
      </c>
      <c r="F1137" t="s">
        <v>42</v>
      </c>
      <c r="G1137" t="s">
        <v>5457</v>
      </c>
      <c r="H1137" t="s">
        <v>5458</v>
      </c>
      <c r="I1137" t="s">
        <v>35</v>
      </c>
      <c r="J1137" t="s">
        <v>24</v>
      </c>
      <c r="K1137" t="s">
        <v>212</v>
      </c>
      <c r="L1137" t="s">
        <v>36</v>
      </c>
      <c r="M1137" t="s">
        <v>57</v>
      </c>
      <c r="N1137" t="s">
        <v>5459</v>
      </c>
      <c r="O1137" t="s">
        <v>29</v>
      </c>
      <c r="P1137" t="s">
        <v>30</v>
      </c>
      <c r="Q1137" t="s">
        <v>5460</v>
      </c>
      <c r="R1137">
        <v>865.1</v>
      </c>
      <c r="S1137">
        <v>7</v>
      </c>
      <c r="T1137">
        <v>0.2</v>
      </c>
      <c r="U1137">
        <v>424.64</v>
      </c>
    </row>
    <row r="1138" spans="1:21" x14ac:dyDescent="0.35">
      <c r="A1138" t="s">
        <v>5461</v>
      </c>
      <c r="B1138" s="2">
        <v>43228</v>
      </c>
      <c r="C1138" s="2" t="str">
        <f t="shared" si="34"/>
        <v>May</v>
      </c>
      <c r="D1138" s="2" t="str">
        <f t="shared" si="35"/>
        <v>2018</v>
      </c>
      <c r="E1138" s="2">
        <v>43348</v>
      </c>
      <c r="F1138" t="s">
        <v>52</v>
      </c>
      <c r="G1138" t="s">
        <v>5462</v>
      </c>
      <c r="H1138" t="s">
        <v>5463</v>
      </c>
      <c r="I1138" t="s">
        <v>35</v>
      </c>
      <c r="J1138" t="s">
        <v>24</v>
      </c>
      <c r="K1138" t="s">
        <v>25</v>
      </c>
      <c r="L1138" t="s">
        <v>56</v>
      </c>
      <c r="M1138" t="s">
        <v>83</v>
      </c>
      <c r="N1138" t="s">
        <v>5464</v>
      </c>
      <c r="O1138" t="s">
        <v>48</v>
      </c>
      <c r="P1138" t="s">
        <v>59</v>
      </c>
      <c r="Q1138" t="s">
        <v>2275</v>
      </c>
      <c r="R1138">
        <v>1862.92</v>
      </c>
      <c r="S1138">
        <v>3</v>
      </c>
      <c r="T1138">
        <v>0</v>
      </c>
      <c r="U1138">
        <v>789.43</v>
      </c>
    </row>
    <row r="1139" spans="1:21" x14ac:dyDescent="0.35">
      <c r="A1139" t="s">
        <v>5465</v>
      </c>
      <c r="B1139" s="2">
        <v>42622</v>
      </c>
      <c r="C1139" s="2" t="str">
        <f t="shared" si="34"/>
        <v>September</v>
      </c>
      <c r="D1139" s="2" t="str">
        <f t="shared" si="35"/>
        <v>2016</v>
      </c>
      <c r="E1139" s="2" t="s">
        <v>6245</v>
      </c>
      <c r="F1139" t="s">
        <v>62</v>
      </c>
      <c r="G1139" t="s">
        <v>5466</v>
      </c>
      <c r="H1139" t="s">
        <v>5467</v>
      </c>
      <c r="I1139" t="s">
        <v>55</v>
      </c>
      <c r="J1139" t="s">
        <v>24</v>
      </c>
      <c r="K1139" t="s">
        <v>89</v>
      </c>
      <c r="L1139" t="s">
        <v>65</v>
      </c>
      <c r="M1139" t="s">
        <v>83</v>
      </c>
      <c r="N1139" t="s">
        <v>5468</v>
      </c>
      <c r="O1139" t="s">
        <v>67</v>
      </c>
      <c r="P1139" t="s">
        <v>68</v>
      </c>
      <c r="Q1139" t="s">
        <v>5469</v>
      </c>
      <c r="R1139">
        <v>1645.36</v>
      </c>
      <c r="S1139">
        <v>1</v>
      </c>
      <c r="T1139">
        <v>0</v>
      </c>
      <c r="U1139">
        <v>666.44</v>
      </c>
    </row>
    <row r="1140" spans="1:21" x14ac:dyDescent="0.35">
      <c r="A1140" t="s">
        <v>5470</v>
      </c>
      <c r="B1140" s="2">
        <v>42766</v>
      </c>
      <c r="C1140" s="2" t="str">
        <f t="shared" si="34"/>
        <v>January</v>
      </c>
      <c r="D1140" s="2" t="str">
        <f t="shared" si="35"/>
        <v>2017</v>
      </c>
      <c r="E1140" s="2">
        <v>42888</v>
      </c>
      <c r="F1140" t="s">
        <v>20</v>
      </c>
      <c r="G1140" t="s">
        <v>5471</v>
      </c>
      <c r="H1140" t="s">
        <v>5472</v>
      </c>
      <c r="I1140" t="s">
        <v>55</v>
      </c>
      <c r="J1140" t="s">
        <v>24</v>
      </c>
      <c r="K1140" t="s">
        <v>89</v>
      </c>
      <c r="L1140" t="s">
        <v>90</v>
      </c>
      <c r="M1140" t="s">
        <v>27</v>
      </c>
      <c r="N1140" t="s">
        <v>5473</v>
      </c>
      <c r="O1140" t="s">
        <v>67</v>
      </c>
      <c r="P1140" t="s">
        <v>68</v>
      </c>
      <c r="Q1140" t="s">
        <v>5474</v>
      </c>
      <c r="R1140">
        <v>180.04</v>
      </c>
      <c r="S1140">
        <v>7</v>
      </c>
      <c r="T1140">
        <v>0</v>
      </c>
      <c r="U1140">
        <v>76.19</v>
      </c>
    </row>
    <row r="1141" spans="1:21" x14ac:dyDescent="0.35">
      <c r="A1141" t="s">
        <v>5475</v>
      </c>
      <c r="B1141" s="2">
        <v>42779</v>
      </c>
      <c r="C1141" s="2" t="str">
        <f t="shared" si="34"/>
        <v>February</v>
      </c>
      <c r="D1141" s="2" t="str">
        <f t="shared" si="35"/>
        <v>2017</v>
      </c>
      <c r="E1141" s="2" t="s">
        <v>6036</v>
      </c>
      <c r="F1141" t="s">
        <v>20</v>
      </c>
      <c r="G1141" t="s">
        <v>5476</v>
      </c>
      <c r="H1141" t="s">
        <v>5477</v>
      </c>
      <c r="I1141" t="s">
        <v>35</v>
      </c>
      <c r="J1141" t="s">
        <v>24</v>
      </c>
      <c r="K1141" t="s">
        <v>103</v>
      </c>
      <c r="L1141" t="s">
        <v>170</v>
      </c>
      <c r="M1141" t="s">
        <v>57</v>
      </c>
      <c r="N1141" t="s">
        <v>5478</v>
      </c>
      <c r="O1141" t="s">
        <v>29</v>
      </c>
      <c r="P1141" t="s">
        <v>39</v>
      </c>
      <c r="Q1141" t="s">
        <v>4505</v>
      </c>
      <c r="R1141">
        <v>526.54</v>
      </c>
      <c r="S1141">
        <v>4</v>
      </c>
      <c r="T1141">
        <v>0.4</v>
      </c>
      <c r="U1141">
        <v>-121.13</v>
      </c>
    </row>
    <row r="1142" spans="1:21" x14ac:dyDescent="0.35">
      <c r="A1142" t="s">
        <v>5479</v>
      </c>
      <c r="B1142" s="2">
        <v>43561</v>
      </c>
      <c r="C1142" s="2" t="str">
        <f t="shared" si="34"/>
        <v>April</v>
      </c>
      <c r="D1142" s="2" t="str">
        <f t="shared" si="35"/>
        <v>2019</v>
      </c>
      <c r="E1142" s="2">
        <v>43742</v>
      </c>
      <c r="F1142" t="s">
        <v>20</v>
      </c>
      <c r="G1142" t="s">
        <v>5480</v>
      </c>
      <c r="H1142" t="s">
        <v>5481</v>
      </c>
      <c r="I1142" t="s">
        <v>55</v>
      </c>
      <c r="J1142" t="s">
        <v>24</v>
      </c>
      <c r="K1142" t="s">
        <v>212</v>
      </c>
      <c r="L1142" t="s">
        <v>115</v>
      </c>
      <c r="M1142" t="s">
        <v>27</v>
      </c>
      <c r="N1142" t="s">
        <v>5482</v>
      </c>
      <c r="O1142" t="s">
        <v>29</v>
      </c>
      <c r="P1142" t="s">
        <v>30</v>
      </c>
      <c r="Q1142" t="s">
        <v>5483</v>
      </c>
      <c r="R1142">
        <v>278.54000000000002</v>
      </c>
      <c r="S1142">
        <v>7</v>
      </c>
      <c r="T1142">
        <v>0</v>
      </c>
      <c r="U1142">
        <v>27.85</v>
      </c>
    </row>
    <row r="1143" spans="1:21" x14ac:dyDescent="0.35">
      <c r="A1143" t="s">
        <v>5484</v>
      </c>
      <c r="B1143" s="2">
        <v>42855</v>
      </c>
      <c r="C1143" s="2" t="str">
        <f t="shared" si="34"/>
        <v>April</v>
      </c>
      <c r="D1143" s="2" t="str">
        <f t="shared" si="35"/>
        <v>2017</v>
      </c>
      <c r="E1143" s="2">
        <v>43013</v>
      </c>
      <c r="F1143" t="s">
        <v>42</v>
      </c>
      <c r="G1143" t="s">
        <v>5485</v>
      </c>
      <c r="H1143" t="s">
        <v>5486</v>
      </c>
      <c r="I1143" t="s">
        <v>35</v>
      </c>
      <c r="J1143" t="s">
        <v>24</v>
      </c>
      <c r="K1143" t="s">
        <v>89</v>
      </c>
      <c r="L1143" t="s">
        <v>170</v>
      </c>
      <c r="M1143" t="s">
        <v>27</v>
      </c>
      <c r="N1143" t="s">
        <v>5487</v>
      </c>
      <c r="O1143" t="s">
        <v>67</v>
      </c>
      <c r="P1143" t="s">
        <v>117</v>
      </c>
      <c r="Q1143" t="s">
        <v>5488</v>
      </c>
      <c r="R1143">
        <v>848.84</v>
      </c>
      <c r="S1143">
        <v>6</v>
      </c>
      <c r="T1143">
        <v>0</v>
      </c>
      <c r="U1143">
        <v>-0.63</v>
      </c>
    </row>
    <row r="1144" spans="1:21" x14ac:dyDescent="0.35">
      <c r="A1144" t="s">
        <v>5489</v>
      </c>
      <c r="B1144" s="2">
        <v>43107</v>
      </c>
      <c r="C1144" s="2" t="str">
        <f t="shared" si="34"/>
        <v>January</v>
      </c>
      <c r="D1144" s="2" t="str">
        <f t="shared" si="35"/>
        <v>2018</v>
      </c>
      <c r="E1144" s="2" t="s">
        <v>5978</v>
      </c>
      <c r="F1144" t="s">
        <v>62</v>
      </c>
      <c r="G1144" t="s">
        <v>5490</v>
      </c>
      <c r="H1144" t="s">
        <v>5491</v>
      </c>
      <c r="I1144" t="s">
        <v>35</v>
      </c>
      <c r="J1144" t="s">
        <v>24</v>
      </c>
      <c r="K1144" t="s">
        <v>103</v>
      </c>
      <c r="L1144" t="s">
        <v>36</v>
      </c>
      <c r="M1144" t="s">
        <v>74</v>
      </c>
      <c r="N1144" t="s">
        <v>5492</v>
      </c>
      <c r="O1144" t="s">
        <v>29</v>
      </c>
      <c r="P1144" t="s">
        <v>110</v>
      </c>
      <c r="Q1144" t="s">
        <v>5493</v>
      </c>
      <c r="R1144">
        <v>805.52</v>
      </c>
      <c r="S1144">
        <v>5</v>
      </c>
      <c r="T1144">
        <v>0.1</v>
      </c>
      <c r="U1144">
        <v>50.15</v>
      </c>
    </row>
    <row r="1145" spans="1:21" x14ac:dyDescent="0.35">
      <c r="A1145" t="s">
        <v>5494</v>
      </c>
      <c r="B1145" s="2">
        <v>42900</v>
      </c>
      <c r="C1145" s="2" t="str">
        <f t="shared" si="34"/>
        <v>June</v>
      </c>
      <c r="D1145" s="2" t="str">
        <f t="shared" si="35"/>
        <v>2017</v>
      </c>
      <c r="E1145" s="2" t="s">
        <v>6004</v>
      </c>
      <c r="F1145" t="s">
        <v>42</v>
      </c>
      <c r="G1145" t="s">
        <v>5495</v>
      </c>
      <c r="H1145" t="s">
        <v>5496</v>
      </c>
      <c r="I1145" t="s">
        <v>35</v>
      </c>
      <c r="J1145" t="s">
        <v>24</v>
      </c>
      <c r="K1145" t="s">
        <v>25</v>
      </c>
      <c r="L1145" t="s">
        <v>115</v>
      </c>
      <c r="M1145" t="s">
        <v>74</v>
      </c>
      <c r="N1145" t="s">
        <v>5497</v>
      </c>
      <c r="O1145" t="s">
        <v>67</v>
      </c>
      <c r="P1145" t="s">
        <v>197</v>
      </c>
      <c r="Q1145" t="s">
        <v>5498</v>
      </c>
      <c r="R1145">
        <v>60.98</v>
      </c>
      <c r="S1145">
        <v>1</v>
      </c>
      <c r="T1145">
        <v>0</v>
      </c>
      <c r="U1145">
        <v>-4.6100000000000003</v>
      </c>
    </row>
    <row r="1146" spans="1:21" x14ac:dyDescent="0.35">
      <c r="A1146" t="s">
        <v>5499</v>
      </c>
      <c r="B1146" s="2">
        <v>43516</v>
      </c>
      <c r="C1146" s="2" t="str">
        <f t="shared" si="34"/>
        <v>February</v>
      </c>
      <c r="D1146" s="2" t="str">
        <f t="shared" si="35"/>
        <v>2019</v>
      </c>
      <c r="E1146" s="2">
        <v>43468</v>
      </c>
      <c r="F1146" t="s">
        <v>20</v>
      </c>
      <c r="G1146" t="s">
        <v>5500</v>
      </c>
      <c r="H1146" t="s">
        <v>5501</v>
      </c>
      <c r="I1146" t="s">
        <v>55</v>
      </c>
      <c r="J1146" t="s">
        <v>24</v>
      </c>
      <c r="K1146" t="s">
        <v>81</v>
      </c>
      <c r="L1146" t="s">
        <v>82</v>
      </c>
      <c r="M1146" t="s">
        <v>27</v>
      </c>
      <c r="N1146" t="s">
        <v>5502</v>
      </c>
      <c r="O1146" t="s">
        <v>67</v>
      </c>
      <c r="P1146" t="s">
        <v>229</v>
      </c>
      <c r="Q1146" t="s">
        <v>5503</v>
      </c>
      <c r="R1146">
        <v>1885.91</v>
      </c>
      <c r="S1146">
        <v>2</v>
      </c>
      <c r="T1146">
        <v>0</v>
      </c>
      <c r="U1146">
        <v>870.62</v>
      </c>
    </row>
    <row r="1147" spans="1:21" x14ac:dyDescent="0.35">
      <c r="A1147" t="s">
        <v>5504</v>
      </c>
      <c r="B1147" s="2">
        <v>43516</v>
      </c>
      <c r="C1147" s="2" t="str">
        <f t="shared" si="34"/>
        <v>February</v>
      </c>
      <c r="D1147" s="2" t="str">
        <f t="shared" si="35"/>
        <v>2019</v>
      </c>
      <c r="E1147" s="2" t="s">
        <v>6139</v>
      </c>
      <c r="F1147" t="s">
        <v>62</v>
      </c>
      <c r="G1147" t="s">
        <v>5505</v>
      </c>
      <c r="H1147" t="s">
        <v>5506</v>
      </c>
      <c r="I1147" t="s">
        <v>35</v>
      </c>
      <c r="J1147" t="s">
        <v>24</v>
      </c>
      <c r="K1147" t="s">
        <v>89</v>
      </c>
      <c r="L1147" t="s">
        <v>90</v>
      </c>
      <c r="M1147" t="s">
        <v>57</v>
      </c>
      <c r="N1147" t="s">
        <v>5507</v>
      </c>
      <c r="O1147" t="s">
        <v>48</v>
      </c>
      <c r="P1147" t="s">
        <v>76</v>
      </c>
      <c r="Q1147" t="s">
        <v>5508</v>
      </c>
      <c r="R1147">
        <v>1571.74</v>
      </c>
      <c r="S1147">
        <v>2</v>
      </c>
      <c r="T1147">
        <v>0</v>
      </c>
      <c r="U1147">
        <v>-28.75</v>
      </c>
    </row>
    <row r="1148" spans="1:21" x14ac:dyDescent="0.35">
      <c r="A1148" t="s">
        <v>5509</v>
      </c>
      <c r="B1148" s="2">
        <v>42816</v>
      </c>
      <c r="C1148" s="2" t="str">
        <f t="shared" si="34"/>
        <v>March</v>
      </c>
      <c r="D1148" s="2" t="str">
        <f t="shared" si="35"/>
        <v>2017</v>
      </c>
      <c r="E1148" s="2" t="s">
        <v>6322</v>
      </c>
      <c r="F1148" t="s">
        <v>62</v>
      </c>
      <c r="G1148" t="s">
        <v>5510</v>
      </c>
      <c r="H1148" t="s">
        <v>5511</v>
      </c>
      <c r="I1148" t="s">
        <v>35</v>
      </c>
      <c r="J1148" t="s">
        <v>24</v>
      </c>
      <c r="K1148" t="s">
        <v>81</v>
      </c>
      <c r="L1148" t="s">
        <v>115</v>
      </c>
      <c r="M1148" t="s">
        <v>27</v>
      </c>
      <c r="N1148" t="s">
        <v>5512</v>
      </c>
      <c r="O1148" t="s">
        <v>67</v>
      </c>
      <c r="P1148" t="s">
        <v>350</v>
      </c>
      <c r="Q1148" t="s">
        <v>5513</v>
      </c>
      <c r="R1148">
        <v>347.84</v>
      </c>
      <c r="S1148">
        <v>2</v>
      </c>
      <c r="T1148">
        <v>0.4</v>
      </c>
      <c r="U1148">
        <v>-73.739999999999995</v>
      </c>
    </row>
    <row r="1149" spans="1:21" x14ac:dyDescent="0.35">
      <c r="A1149" t="s">
        <v>5514</v>
      </c>
      <c r="B1149" s="2">
        <v>42510</v>
      </c>
      <c r="C1149" s="2" t="str">
        <f t="shared" si="34"/>
        <v>May</v>
      </c>
      <c r="D1149" s="2" t="str">
        <f t="shared" si="35"/>
        <v>2016</v>
      </c>
      <c r="E1149" s="2" t="s">
        <v>5935</v>
      </c>
      <c r="F1149" t="s">
        <v>42</v>
      </c>
      <c r="G1149" t="s">
        <v>5515</v>
      </c>
      <c r="H1149" t="s">
        <v>5516</v>
      </c>
      <c r="I1149" t="s">
        <v>35</v>
      </c>
      <c r="J1149" t="s">
        <v>24</v>
      </c>
      <c r="K1149" t="s">
        <v>36</v>
      </c>
      <c r="L1149" t="s">
        <v>46</v>
      </c>
      <c r="M1149" t="s">
        <v>27</v>
      </c>
      <c r="N1149" t="s">
        <v>5517</v>
      </c>
      <c r="O1149" t="s">
        <v>48</v>
      </c>
      <c r="P1149" t="s">
        <v>76</v>
      </c>
      <c r="Q1149" t="s">
        <v>4058</v>
      </c>
      <c r="R1149">
        <v>672.61</v>
      </c>
      <c r="S1149">
        <v>7</v>
      </c>
      <c r="T1149">
        <v>0</v>
      </c>
      <c r="U1149">
        <v>-43.22</v>
      </c>
    </row>
    <row r="1150" spans="1:21" x14ac:dyDescent="0.35">
      <c r="A1150" t="s">
        <v>5518</v>
      </c>
      <c r="B1150" s="2">
        <v>43707</v>
      </c>
      <c r="C1150" s="2" t="str">
        <f t="shared" si="34"/>
        <v>August</v>
      </c>
      <c r="D1150" s="2" t="str">
        <f t="shared" si="35"/>
        <v>2019</v>
      </c>
      <c r="E1150" s="2">
        <v>43505</v>
      </c>
      <c r="F1150" t="s">
        <v>62</v>
      </c>
      <c r="G1150" t="s">
        <v>1576</v>
      </c>
      <c r="H1150" t="s">
        <v>5519</v>
      </c>
      <c r="I1150" t="s">
        <v>35</v>
      </c>
      <c r="J1150" t="s">
        <v>24</v>
      </c>
      <c r="K1150" t="s">
        <v>103</v>
      </c>
      <c r="L1150" t="s">
        <v>46</v>
      </c>
      <c r="M1150" t="s">
        <v>27</v>
      </c>
      <c r="N1150" t="s">
        <v>5520</v>
      </c>
      <c r="O1150" t="s">
        <v>67</v>
      </c>
      <c r="P1150" t="s">
        <v>197</v>
      </c>
      <c r="Q1150" t="s">
        <v>583</v>
      </c>
      <c r="R1150">
        <v>1462.04</v>
      </c>
      <c r="S1150">
        <v>3</v>
      </c>
      <c r="T1150">
        <v>0.1</v>
      </c>
      <c r="U1150">
        <v>-385.45</v>
      </c>
    </row>
    <row r="1151" spans="1:21" x14ac:dyDescent="0.35">
      <c r="A1151" t="s">
        <v>5521</v>
      </c>
      <c r="B1151" s="2">
        <v>42993</v>
      </c>
      <c r="C1151" s="2" t="str">
        <f t="shared" si="34"/>
        <v>September</v>
      </c>
      <c r="D1151" s="2" t="str">
        <f t="shared" si="35"/>
        <v>2017</v>
      </c>
      <c r="E1151" s="2" t="s">
        <v>6094</v>
      </c>
      <c r="F1151" t="s">
        <v>52</v>
      </c>
      <c r="G1151" t="s">
        <v>5522</v>
      </c>
      <c r="H1151" t="s">
        <v>5523</v>
      </c>
      <c r="I1151" t="s">
        <v>35</v>
      </c>
      <c r="J1151" t="s">
        <v>24</v>
      </c>
      <c r="K1151" t="s">
        <v>103</v>
      </c>
      <c r="L1151" t="s">
        <v>170</v>
      </c>
      <c r="M1151" t="s">
        <v>57</v>
      </c>
      <c r="N1151" t="s">
        <v>5524</v>
      </c>
      <c r="O1151" t="s">
        <v>67</v>
      </c>
      <c r="P1151" t="s">
        <v>197</v>
      </c>
      <c r="Q1151" t="s">
        <v>5525</v>
      </c>
      <c r="R1151">
        <v>1221.1600000000001</v>
      </c>
      <c r="S1151">
        <v>9</v>
      </c>
      <c r="T1151">
        <v>0.4</v>
      </c>
      <c r="U1151">
        <v>460.76</v>
      </c>
    </row>
    <row r="1152" spans="1:21" x14ac:dyDescent="0.35">
      <c r="A1152" t="s">
        <v>5526</v>
      </c>
      <c r="B1152" s="2">
        <v>42718</v>
      </c>
      <c r="C1152" s="2" t="str">
        <f t="shared" si="34"/>
        <v>December</v>
      </c>
      <c r="D1152" s="2" t="str">
        <f t="shared" si="35"/>
        <v>2016</v>
      </c>
      <c r="E1152" s="2" t="s">
        <v>6132</v>
      </c>
      <c r="F1152" t="s">
        <v>52</v>
      </c>
      <c r="G1152" t="s">
        <v>5527</v>
      </c>
      <c r="H1152" t="s">
        <v>5528</v>
      </c>
      <c r="I1152" t="s">
        <v>55</v>
      </c>
      <c r="J1152" t="s">
        <v>24</v>
      </c>
      <c r="K1152" t="s">
        <v>45</v>
      </c>
      <c r="L1152" t="s">
        <v>90</v>
      </c>
      <c r="M1152" t="s">
        <v>83</v>
      </c>
      <c r="N1152" t="s">
        <v>5529</v>
      </c>
      <c r="O1152" t="s">
        <v>29</v>
      </c>
      <c r="P1152" t="s">
        <v>110</v>
      </c>
      <c r="Q1152" t="s">
        <v>5530</v>
      </c>
      <c r="R1152">
        <v>1431.22</v>
      </c>
      <c r="S1152">
        <v>3</v>
      </c>
      <c r="T1152">
        <v>0</v>
      </c>
      <c r="U1152">
        <v>-155.51</v>
      </c>
    </row>
    <row r="1153" spans="1:21" x14ac:dyDescent="0.35">
      <c r="A1153" t="s">
        <v>5531</v>
      </c>
      <c r="B1153" s="2">
        <v>43730</v>
      </c>
      <c r="C1153" s="2" t="str">
        <f t="shared" si="34"/>
        <v>September</v>
      </c>
      <c r="D1153" s="2" t="str">
        <f t="shared" si="35"/>
        <v>2019</v>
      </c>
      <c r="E1153" s="2" t="s">
        <v>6158</v>
      </c>
      <c r="F1153" t="s">
        <v>52</v>
      </c>
      <c r="G1153" t="s">
        <v>5532</v>
      </c>
      <c r="H1153" t="s">
        <v>2919</v>
      </c>
      <c r="I1153" t="s">
        <v>35</v>
      </c>
      <c r="J1153" t="s">
        <v>24</v>
      </c>
      <c r="K1153" t="s">
        <v>89</v>
      </c>
      <c r="L1153" t="s">
        <v>65</v>
      </c>
      <c r="M1153" t="s">
        <v>83</v>
      </c>
      <c r="N1153" t="s">
        <v>5533</v>
      </c>
      <c r="O1153" t="s">
        <v>29</v>
      </c>
      <c r="P1153" t="s">
        <v>30</v>
      </c>
      <c r="Q1153" t="s">
        <v>5534</v>
      </c>
      <c r="R1153">
        <v>1716.7</v>
      </c>
      <c r="S1153">
        <v>2</v>
      </c>
      <c r="T1153">
        <v>0</v>
      </c>
      <c r="U1153">
        <v>132.74</v>
      </c>
    </row>
    <row r="1154" spans="1:21" x14ac:dyDescent="0.35">
      <c r="A1154" t="s">
        <v>5535</v>
      </c>
      <c r="B1154" s="2">
        <v>42562</v>
      </c>
      <c r="C1154" s="2" t="str">
        <f t="shared" si="34"/>
        <v>July</v>
      </c>
      <c r="D1154" s="2" t="str">
        <f t="shared" si="35"/>
        <v>2016</v>
      </c>
      <c r="E1154" s="2" t="s">
        <v>6385</v>
      </c>
      <c r="F1154" t="s">
        <v>42</v>
      </c>
      <c r="G1154" t="s">
        <v>2959</v>
      </c>
      <c r="H1154" t="s">
        <v>5536</v>
      </c>
      <c r="I1154" t="s">
        <v>35</v>
      </c>
      <c r="J1154" t="s">
        <v>24</v>
      </c>
      <c r="K1154" t="s">
        <v>81</v>
      </c>
      <c r="L1154" t="s">
        <v>170</v>
      </c>
      <c r="M1154" t="s">
        <v>74</v>
      </c>
      <c r="N1154" t="s">
        <v>5537</v>
      </c>
      <c r="O1154" t="s">
        <v>67</v>
      </c>
      <c r="P1154" t="s">
        <v>197</v>
      </c>
      <c r="Q1154" t="s">
        <v>2358</v>
      </c>
      <c r="R1154">
        <v>1663.78</v>
      </c>
      <c r="S1154">
        <v>5</v>
      </c>
      <c r="T1154">
        <v>0</v>
      </c>
      <c r="U1154">
        <v>689.44</v>
      </c>
    </row>
    <row r="1155" spans="1:21" x14ac:dyDescent="0.35">
      <c r="A1155" t="s">
        <v>5538</v>
      </c>
      <c r="B1155" s="2">
        <v>42646</v>
      </c>
      <c r="C1155" s="2" t="str">
        <f t="shared" ref="C1155:C1218" si="36">TEXT(B1155,"mmmm")</f>
        <v>October</v>
      </c>
      <c r="D1155" s="2" t="str">
        <f t="shared" ref="D1155:D1218" si="37">TEXT(B1155,"yyyy")</f>
        <v>2016</v>
      </c>
      <c r="E1155" s="2">
        <v>42470</v>
      </c>
      <c r="F1155" t="s">
        <v>20</v>
      </c>
      <c r="G1155" t="s">
        <v>5539</v>
      </c>
      <c r="H1155" t="s">
        <v>5540</v>
      </c>
      <c r="I1155" t="s">
        <v>23</v>
      </c>
      <c r="J1155" t="s">
        <v>24</v>
      </c>
      <c r="K1155" t="s">
        <v>212</v>
      </c>
      <c r="L1155" t="s">
        <v>36</v>
      </c>
      <c r="M1155" t="s">
        <v>27</v>
      </c>
      <c r="N1155" t="s">
        <v>5541</v>
      </c>
      <c r="O1155" t="s">
        <v>67</v>
      </c>
      <c r="P1155" t="s">
        <v>92</v>
      </c>
      <c r="Q1155" t="s">
        <v>5542</v>
      </c>
      <c r="R1155">
        <v>1415.45</v>
      </c>
      <c r="S1155">
        <v>1</v>
      </c>
      <c r="T1155">
        <v>0.2</v>
      </c>
      <c r="U1155">
        <v>-268.83999999999997</v>
      </c>
    </row>
    <row r="1156" spans="1:21" x14ac:dyDescent="0.35">
      <c r="A1156" t="s">
        <v>5543</v>
      </c>
      <c r="B1156" s="2">
        <v>43575</v>
      </c>
      <c r="C1156" s="2" t="str">
        <f t="shared" si="36"/>
        <v>April</v>
      </c>
      <c r="D1156" s="2" t="str">
        <f t="shared" si="37"/>
        <v>2019</v>
      </c>
      <c r="E1156" s="2" t="s">
        <v>6259</v>
      </c>
      <c r="F1156" t="s">
        <v>42</v>
      </c>
      <c r="G1156" t="s">
        <v>5544</v>
      </c>
      <c r="H1156" t="s">
        <v>5545</v>
      </c>
      <c r="I1156" t="s">
        <v>55</v>
      </c>
      <c r="J1156" t="s">
        <v>24</v>
      </c>
      <c r="K1156" t="s">
        <v>36</v>
      </c>
      <c r="L1156" t="s">
        <v>46</v>
      </c>
      <c r="M1156" t="s">
        <v>74</v>
      </c>
      <c r="N1156" t="s">
        <v>5546</v>
      </c>
      <c r="O1156" t="s">
        <v>48</v>
      </c>
      <c r="P1156" t="s">
        <v>49</v>
      </c>
      <c r="Q1156" t="s">
        <v>5547</v>
      </c>
      <c r="R1156">
        <v>1790.72</v>
      </c>
      <c r="S1156">
        <v>7</v>
      </c>
      <c r="T1156">
        <v>0.1</v>
      </c>
      <c r="U1156">
        <v>345.19</v>
      </c>
    </row>
    <row r="1157" spans="1:21" x14ac:dyDescent="0.35">
      <c r="A1157" t="s">
        <v>5548</v>
      </c>
      <c r="B1157" s="2">
        <v>43204</v>
      </c>
      <c r="C1157" s="2" t="str">
        <f t="shared" si="36"/>
        <v>April</v>
      </c>
      <c r="D1157" s="2" t="str">
        <f t="shared" si="37"/>
        <v>2018</v>
      </c>
      <c r="E1157" s="2" t="s">
        <v>5958</v>
      </c>
      <c r="F1157" t="s">
        <v>62</v>
      </c>
      <c r="G1157" t="s">
        <v>5549</v>
      </c>
      <c r="H1157" t="s">
        <v>5550</v>
      </c>
      <c r="I1157" t="s">
        <v>55</v>
      </c>
      <c r="J1157" t="s">
        <v>24</v>
      </c>
      <c r="K1157" t="s">
        <v>133</v>
      </c>
      <c r="L1157" t="s">
        <v>36</v>
      </c>
      <c r="M1157" t="s">
        <v>57</v>
      </c>
      <c r="N1157" t="s">
        <v>5551</v>
      </c>
      <c r="O1157" t="s">
        <v>67</v>
      </c>
      <c r="P1157" t="s">
        <v>229</v>
      </c>
      <c r="Q1157" t="s">
        <v>5552</v>
      </c>
      <c r="R1157">
        <v>1457.18</v>
      </c>
      <c r="S1157">
        <v>5</v>
      </c>
      <c r="T1157">
        <v>0.4</v>
      </c>
      <c r="U1157">
        <v>169.5</v>
      </c>
    </row>
    <row r="1158" spans="1:21" x14ac:dyDescent="0.35">
      <c r="A1158" t="s">
        <v>5553</v>
      </c>
      <c r="B1158" s="2">
        <v>43457</v>
      </c>
      <c r="C1158" s="2" t="str">
        <f t="shared" si="36"/>
        <v>December</v>
      </c>
      <c r="D1158" s="2" t="str">
        <f t="shared" si="37"/>
        <v>2018</v>
      </c>
      <c r="E1158" s="2" t="s">
        <v>6233</v>
      </c>
      <c r="F1158" t="s">
        <v>52</v>
      </c>
      <c r="G1158" t="s">
        <v>5554</v>
      </c>
      <c r="H1158" t="s">
        <v>5555</v>
      </c>
      <c r="I1158" t="s">
        <v>23</v>
      </c>
      <c r="J1158" t="s">
        <v>24</v>
      </c>
      <c r="K1158" t="s">
        <v>81</v>
      </c>
      <c r="L1158" t="s">
        <v>26</v>
      </c>
      <c r="M1158" t="s">
        <v>27</v>
      </c>
      <c r="N1158" t="s">
        <v>5556</v>
      </c>
      <c r="O1158" t="s">
        <v>48</v>
      </c>
      <c r="P1158" t="s">
        <v>59</v>
      </c>
      <c r="Q1158" t="s">
        <v>5557</v>
      </c>
      <c r="R1158">
        <v>1366.52</v>
      </c>
      <c r="S1158">
        <v>7</v>
      </c>
      <c r="T1158">
        <v>0</v>
      </c>
      <c r="U1158">
        <v>-177.04</v>
      </c>
    </row>
    <row r="1159" spans="1:21" x14ac:dyDescent="0.35">
      <c r="A1159" t="s">
        <v>5558</v>
      </c>
      <c r="B1159" s="2">
        <v>43705</v>
      </c>
      <c r="C1159" s="2" t="str">
        <f t="shared" si="36"/>
        <v>August</v>
      </c>
      <c r="D1159" s="2" t="str">
        <f t="shared" si="37"/>
        <v>2019</v>
      </c>
      <c r="E1159" s="2">
        <v>43655</v>
      </c>
      <c r="F1159" t="s">
        <v>20</v>
      </c>
      <c r="G1159" t="s">
        <v>5559</v>
      </c>
      <c r="H1159" t="s">
        <v>5560</v>
      </c>
      <c r="I1159" t="s">
        <v>55</v>
      </c>
      <c r="J1159" t="s">
        <v>24</v>
      </c>
      <c r="K1159" t="s">
        <v>36</v>
      </c>
      <c r="L1159" t="s">
        <v>46</v>
      </c>
      <c r="M1159" t="s">
        <v>83</v>
      </c>
      <c r="N1159" t="s">
        <v>5561</v>
      </c>
      <c r="O1159" t="s">
        <v>29</v>
      </c>
      <c r="P1159" t="s">
        <v>30</v>
      </c>
      <c r="Q1159" t="s">
        <v>3295</v>
      </c>
      <c r="R1159">
        <v>1973.55</v>
      </c>
      <c r="S1159">
        <v>8</v>
      </c>
      <c r="T1159">
        <v>0.3</v>
      </c>
      <c r="U1159">
        <v>302.27</v>
      </c>
    </row>
    <row r="1160" spans="1:21" x14ac:dyDescent="0.35">
      <c r="A1160" t="s">
        <v>5562</v>
      </c>
      <c r="B1160" s="2">
        <v>43048</v>
      </c>
      <c r="C1160" s="2" t="str">
        <f t="shared" si="36"/>
        <v>November</v>
      </c>
      <c r="D1160" s="2" t="str">
        <f t="shared" si="37"/>
        <v>2017</v>
      </c>
      <c r="E1160" s="2" t="s">
        <v>6386</v>
      </c>
      <c r="F1160" t="s">
        <v>62</v>
      </c>
      <c r="G1160" t="s">
        <v>5563</v>
      </c>
      <c r="H1160" t="s">
        <v>5564</v>
      </c>
      <c r="I1160" t="s">
        <v>55</v>
      </c>
      <c r="J1160" t="s">
        <v>24</v>
      </c>
      <c r="K1160" t="s">
        <v>97</v>
      </c>
      <c r="L1160" t="s">
        <v>36</v>
      </c>
      <c r="M1160" t="s">
        <v>57</v>
      </c>
      <c r="N1160" t="s">
        <v>5565</v>
      </c>
      <c r="O1160" t="s">
        <v>48</v>
      </c>
      <c r="P1160" t="s">
        <v>128</v>
      </c>
      <c r="Q1160" t="s">
        <v>5566</v>
      </c>
      <c r="R1160">
        <v>1858.23</v>
      </c>
      <c r="S1160">
        <v>5</v>
      </c>
      <c r="T1160">
        <v>0.4</v>
      </c>
      <c r="U1160">
        <v>898.33</v>
      </c>
    </row>
    <row r="1161" spans="1:21" x14ac:dyDescent="0.35">
      <c r="A1161" t="s">
        <v>5567</v>
      </c>
      <c r="B1161" s="2">
        <v>42468</v>
      </c>
      <c r="C1161" s="2" t="str">
        <f t="shared" si="36"/>
        <v>April</v>
      </c>
      <c r="D1161" s="2" t="str">
        <f t="shared" si="37"/>
        <v>2016</v>
      </c>
      <c r="E1161" s="2" t="s">
        <v>6058</v>
      </c>
      <c r="F1161" t="s">
        <v>20</v>
      </c>
      <c r="G1161" t="s">
        <v>5568</v>
      </c>
      <c r="H1161" t="s">
        <v>5569</v>
      </c>
      <c r="I1161" t="s">
        <v>55</v>
      </c>
      <c r="J1161" t="s">
        <v>24</v>
      </c>
      <c r="K1161" t="s">
        <v>212</v>
      </c>
      <c r="L1161" t="s">
        <v>26</v>
      </c>
      <c r="M1161" t="s">
        <v>83</v>
      </c>
      <c r="N1161" t="s">
        <v>5570</v>
      </c>
      <c r="O1161" t="s">
        <v>67</v>
      </c>
      <c r="P1161" t="s">
        <v>229</v>
      </c>
      <c r="Q1161" t="s">
        <v>5571</v>
      </c>
      <c r="R1161">
        <v>305.16000000000003</v>
      </c>
      <c r="S1161">
        <v>4</v>
      </c>
      <c r="T1161">
        <v>0</v>
      </c>
      <c r="U1161">
        <v>28.44</v>
      </c>
    </row>
    <row r="1162" spans="1:21" x14ac:dyDescent="0.35">
      <c r="A1162" t="s">
        <v>5572</v>
      </c>
      <c r="B1162" s="2">
        <v>42794</v>
      </c>
      <c r="C1162" s="2" t="str">
        <f t="shared" si="36"/>
        <v>February</v>
      </c>
      <c r="D1162" s="2" t="str">
        <f t="shared" si="37"/>
        <v>2017</v>
      </c>
      <c r="E1162" s="2">
        <v>43011</v>
      </c>
      <c r="F1162" t="s">
        <v>20</v>
      </c>
      <c r="G1162" t="s">
        <v>5573</v>
      </c>
      <c r="H1162" t="s">
        <v>5574</v>
      </c>
      <c r="I1162" t="s">
        <v>55</v>
      </c>
      <c r="J1162" t="s">
        <v>24</v>
      </c>
      <c r="K1162" t="s">
        <v>212</v>
      </c>
      <c r="L1162" t="s">
        <v>56</v>
      </c>
      <c r="M1162" t="s">
        <v>57</v>
      </c>
      <c r="N1162" t="s">
        <v>5575</v>
      </c>
      <c r="O1162" t="s">
        <v>67</v>
      </c>
      <c r="P1162" t="s">
        <v>117</v>
      </c>
      <c r="Q1162" t="s">
        <v>5576</v>
      </c>
      <c r="R1162">
        <v>1117.28</v>
      </c>
      <c r="S1162">
        <v>9</v>
      </c>
      <c r="T1162">
        <v>0.4</v>
      </c>
      <c r="U1162">
        <v>238.22</v>
      </c>
    </row>
    <row r="1163" spans="1:21" x14ac:dyDescent="0.35">
      <c r="A1163" t="s">
        <v>5577</v>
      </c>
      <c r="B1163" s="2">
        <v>42613</v>
      </c>
      <c r="C1163" s="2" t="str">
        <f t="shared" si="36"/>
        <v>August</v>
      </c>
      <c r="D1163" s="2" t="str">
        <f t="shared" si="37"/>
        <v>2016</v>
      </c>
      <c r="E1163" s="2">
        <v>42409</v>
      </c>
      <c r="F1163" t="s">
        <v>62</v>
      </c>
      <c r="G1163" t="s">
        <v>5578</v>
      </c>
      <c r="H1163" t="s">
        <v>5579</v>
      </c>
      <c r="I1163" t="s">
        <v>23</v>
      </c>
      <c r="J1163" t="s">
        <v>24</v>
      </c>
      <c r="K1163" t="s">
        <v>89</v>
      </c>
      <c r="L1163" t="s">
        <v>37</v>
      </c>
      <c r="M1163" t="s">
        <v>74</v>
      </c>
      <c r="N1163" t="s">
        <v>5580</v>
      </c>
      <c r="O1163" t="s">
        <v>67</v>
      </c>
      <c r="P1163" t="s">
        <v>117</v>
      </c>
      <c r="Q1163" t="s">
        <v>5581</v>
      </c>
      <c r="R1163">
        <v>871.06</v>
      </c>
      <c r="S1163">
        <v>7</v>
      </c>
      <c r="T1163">
        <v>0</v>
      </c>
      <c r="U1163">
        <v>-201.87</v>
      </c>
    </row>
    <row r="1164" spans="1:21" x14ac:dyDescent="0.35">
      <c r="A1164" t="s">
        <v>5582</v>
      </c>
      <c r="B1164" s="2">
        <v>43070</v>
      </c>
      <c r="C1164" s="2" t="str">
        <f t="shared" si="36"/>
        <v>December</v>
      </c>
      <c r="D1164" s="2" t="str">
        <f t="shared" si="37"/>
        <v>2017</v>
      </c>
      <c r="E1164" s="2">
        <v>42898</v>
      </c>
      <c r="F1164" t="s">
        <v>62</v>
      </c>
      <c r="G1164" t="s">
        <v>5583</v>
      </c>
      <c r="H1164" t="s">
        <v>5584</v>
      </c>
      <c r="I1164" t="s">
        <v>35</v>
      </c>
      <c r="J1164" t="s">
        <v>24</v>
      </c>
      <c r="K1164" t="s">
        <v>25</v>
      </c>
      <c r="L1164" t="s">
        <v>46</v>
      </c>
      <c r="M1164" t="s">
        <v>74</v>
      </c>
      <c r="N1164" t="s">
        <v>5585</v>
      </c>
      <c r="O1164" t="s">
        <v>29</v>
      </c>
      <c r="P1164" t="s">
        <v>110</v>
      </c>
      <c r="Q1164" t="s">
        <v>1760</v>
      </c>
      <c r="R1164">
        <v>247.04</v>
      </c>
      <c r="S1164">
        <v>7</v>
      </c>
      <c r="T1164">
        <v>0</v>
      </c>
      <c r="U1164">
        <v>-9.16</v>
      </c>
    </row>
    <row r="1165" spans="1:21" x14ac:dyDescent="0.35">
      <c r="A1165" t="s">
        <v>5586</v>
      </c>
      <c r="B1165" s="2">
        <v>43168</v>
      </c>
      <c r="C1165" s="2" t="str">
        <f t="shared" si="36"/>
        <v>March</v>
      </c>
      <c r="D1165" s="2" t="str">
        <f t="shared" si="37"/>
        <v>2018</v>
      </c>
      <c r="E1165" s="2" t="s">
        <v>6387</v>
      </c>
      <c r="F1165" t="s">
        <v>62</v>
      </c>
      <c r="G1165" t="s">
        <v>5587</v>
      </c>
      <c r="H1165" t="s">
        <v>5588</v>
      </c>
      <c r="I1165" t="s">
        <v>23</v>
      </c>
      <c r="J1165" t="s">
        <v>24</v>
      </c>
      <c r="K1165" t="s">
        <v>103</v>
      </c>
      <c r="L1165" t="s">
        <v>56</v>
      </c>
      <c r="M1165" t="s">
        <v>74</v>
      </c>
      <c r="N1165" t="s">
        <v>5589</v>
      </c>
      <c r="O1165" t="s">
        <v>29</v>
      </c>
      <c r="P1165" t="s">
        <v>110</v>
      </c>
      <c r="Q1165" t="s">
        <v>5590</v>
      </c>
      <c r="R1165">
        <v>412.98</v>
      </c>
      <c r="S1165">
        <v>9</v>
      </c>
      <c r="T1165">
        <v>0.1</v>
      </c>
      <c r="U1165">
        <v>-11.15</v>
      </c>
    </row>
    <row r="1166" spans="1:21" x14ac:dyDescent="0.35">
      <c r="A1166" t="s">
        <v>5591</v>
      </c>
      <c r="B1166" s="2">
        <v>42513</v>
      </c>
      <c r="C1166" s="2" t="str">
        <f t="shared" si="36"/>
        <v>May</v>
      </c>
      <c r="D1166" s="2" t="str">
        <f t="shared" si="37"/>
        <v>2016</v>
      </c>
      <c r="E1166" s="2" t="s">
        <v>5935</v>
      </c>
      <c r="F1166" t="s">
        <v>62</v>
      </c>
      <c r="G1166" t="s">
        <v>5592</v>
      </c>
      <c r="H1166" t="s">
        <v>5593</v>
      </c>
      <c r="I1166" t="s">
        <v>55</v>
      </c>
      <c r="J1166" t="s">
        <v>24</v>
      </c>
      <c r="K1166" t="s">
        <v>103</v>
      </c>
      <c r="L1166" t="s">
        <v>36</v>
      </c>
      <c r="M1166" t="s">
        <v>83</v>
      </c>
      <c r="N1166" t="s">
        <v>5594</v>
      </c>
      <c r="O1166" t="s">
        <v>67</v>
      </c>
      <c r="P1166" t="s">
        <v>229</v>
      </c>
      <c r="Q1166" t="s">
        <v>5595</v>
      </c>
      <c r="R1166">
        <v>1565.53</v>
      </c>
      <c r="S1166">
        <v>6</v>
      </c>
      <c r="T1166">
        <v>0.2</v>
      </c>
      <c r="U1166">
        <v>120.53</v>
      </c>
    </row>
    <row r="1167" spans="1:21" x14ac:dyDescent="0.35">
      <c r="A1167" t="s">
        <v>5596</v>
      </c>
      <c r="B1167" s="2">
        <v>43300</v>
      </c>
      <c r="C1167" s="2" t="str">
        <f t="shared" si="36"/>
        <v>July</v>
      </c>
      <c r="D1167" s="2" t="str">
        <f t="shared" si="37"/>
        <v>2018</v>
      </c>
      <c r="E1167" s="2" t="s">
        <v>6270</v>
      </c>
      <c r="F1167" t="s">
        <v>20</v>
      </c>
      <c r="G1167" t="s">
        <v>5597</v>
      </c>
      <c r="H1167" t="s">
        <v>5598</v>
      </c>
      <c r="I1167" t="s">
        <v>23</v>
      </c>
      <c r="J1167" t="s">
        <v>24</v>
      </c>
      <c r="K1167" t="s">
        <v>73</v>
      </c>
      <c r="L1167" t="s">
        <v>115</v>
      </c>
      <c r="M1167" t="s">
        <v>27</v>
      </c>
      <c r="N1167" t="s">
        <v>5599</v>
      </c>
      <c r="O1167" t="s">
        <v>29</v>
      </c>
      <c r="P1167" t="s">
        <v>155</v>
      </c>
      <c r="Q1167" t="s">
        <v>3898</v>
      </c>
      <c r="R1167">
        <v>1235.82</v>
      </c>
      <c r="S1167">
        <v>7</v>
      </c>
      <c r="T1167">
        <v>0.1</v>
      </c>
      <c r="U1167">
        <v>163.06</v>
      </c>
    </row>
    <row r="1168" spans="1:21" x14ac:dyDescent="0.35">
      <c r="A1168" t="s">
        <v>5600</v>
      </c>
      <c r="B1168" s="2">
        <v>43474</v>
      </c>
      <c r="C1168" s="2" t="str">
        <f t="shared" si="36"/>
        <v>January</v>
      </c>
      <c r="D1168" s="2" t="str">
        <f t="shared" si="37"/>
        <v>2019</v>
      </c>
      <c r="E1168" s="2" t="s">
        <v>6388</v>
      </c>
      <c r="F1168" t="s">
        <v>20</v>
      </c>
      <c r="G1168" t="s">
        <v>5601</v>
      </c>
      <c r="H1168" t="s">
        <v>5602</v>
      </c>
      <c r="I1168" t="s">
        <v>55</v>
      </c>
      <c r="J1168" t="s">
        <v>24</v>
      </c>
      <c r="K1168" t="s">
        <v>133</v>
      </c>
      <c r="L1168" t="s">
        <v>82</v>
      </c>
      <c r="M1168" t="s">
        <v>83</v>
      </c>
      <c r="N1168" t="s">
        <v>5603</v>
      </c>
      <c r="O1168" t="s">
        <v>29</v>
      </c>
      <c r="P1168" t="s">
        <v>30</v>
      </c>
      <c r="Q1168" t="s">
        <v>5604</v>
      </c>
      <c r="R1168">
        <v>1943.05</v>
      </c>
      <c r="S1168">
        <v>2</v>
      </c>
      <c r="T1168">
        <v>0.2</v>
      </c>
      <c r="U1168">
        <v>381.51</v>
      </c>
    </row>
    <row r="1169" spans="1:21" x14ac:dyDescent="0.35">
      <c r="A1169" t="s">
        <v>5605</v>
      </c>
      <c r="B1169" s="2">
        <v>43591</v>
      </c>
      <c r="C1169" s="2" t="str">
        <f t="shared" si="36"/>
        <v>May</v>
      </c>
      <c r="D1169" s="2" t="str">
        <f t="shared" si="37"/>
        <v>2019</v>
      </c>
      <c r="E1169" s="2" t="s">
        <v>6389</v>
      </c>
      <c r="F1169" t="s">
        <v>62</v>
      </c>
      <c r="G1169" t="s">
        <v>5606</v>
      </c>
      <c r="H1169" t="s">
        <v>5607</v>
      </c>
      <c r="I1169" t="s">
        <v>23</v>
      </c>
      <c r="J1169" t="s">
        <v>24</v>
      </c>
      <c r="K1169" t="s">
        <v>212</v>
      </c>
      <c r="L1169" t="s">
        <v>37</v>
      </c>
      <c r="M1169" t="s">
        <v>74</v>
      </c>
      <c r="N1169" t="s">
        <v>5608</v>
      </c>
      <c r="O1169" t="s">
        <v>29</v>
      </c>
      <c r="P1169" t="s">
        <v>155</v>
      </c>
      <c r="Q1169" t="s">
        <v>5609</v>
      </c>
      <c r="R1169">
        <v>616.49</v>
      </c>
      <c r="S1169">
        <v>7</v>
      </c>
      <c r="T1169">
        <v>0.4</v>
      </c>
      <c r="U1169">
        <v>-27.08</v>
      </c>
    </row>
    <row r="1170" spans="1:21" x14ac:dyDescent="0.35">
      <c r="A1170" t="s">
        <v>5610</v>
      </c>
      <c r="B1170" s="2">
        <v>43650</v>
      </c>
      <c r="C1170" s="2" t="str">
        <f t="shared" si="36"/>
        <v>July</v>
      </c>
      <c r="D1170" s="2" t="str">
        <f t="shared" si="37"/>
        <v>2019</v>
      </c>
      <c r="E1170" s="2">
        <v>43715</v>
      </c>
      <c r="F1170" t="s">
        <v>20</v>
      </c>
      <c r="G1170" t="s">
        <v>5611</v>
      </c>
      <c r="H1170" t="s">
        <v>5612</v>
      </c>
      <c r="I1170" t="s">
        <v>55</v>
      </c>
      <c r="J1170" t="s">
        <v>24</v>
      </c>
      <c r="K1170" t="s">
        <v>103</v>
      </c>
      <c r="L1170" t="s">
        <v>37</v>
      </c>
      <c r="M1170" t="s">
        <v>83</v>
      </c>
      <c r="N1170" t="s">
        <v>5613</v>
      </c>
      <c r="O1170" t="s">
        <v>48</v>
      </c>
      <c r="P1170" t="s">
        <v>49</v>
      </c>
      <c r="Q1170" t="s">
        <v>5614</v>
      </c>
      <c r="R1170">
        <v>361.57</v>
      </c>
      <c r="S1170">
        <v>6</v>
      </c>
      <c r="T1170">
        <v>0</v>
      </c>
      <c r="U1170">
        <v>106.96</v>
      </c>
    </row>
    <row r="1171" spans="1:21" x14ac:dyDescent="0.35">
      <c r="A1171" t="s">
        <v>5615</v>
      </c>
      <c r="B1171" s="2">
        <v>43565</v>
      </c>
      <c r="C1171" s="2" t="str">
        <f t="shared" si="36"/>
        <v>April</v>
      </c>
      <c r="D1171" s="2" t="str">
        <f t="shared" si="37"/>
        <v>2019</v>
      </c>
      <c r="E1171" s="2" t="s">
        <v>6253</v>
      </c>
      <c r="F1171" t="s">
        <v>62</v>
      </c>
      <c r="G1171" t="s">
        <v>5616</v>
      </c>
      <c r="H1171" t="s">
        <v>5617</v>
      </c>
      <c r="I1171" t="s">
        <v>23</v>
      </c>
      <c r="J1171" t="s">
        <v>24</v>
      </c>
      <c r="K1171" t="s">
        <v>36</v>
      </c>
      <c r="L1171" t="s">
        <v>36</v>
      </c>
      <c r="M1171" t="s">
        <v>74</v>
      </c>
      <c r="N1171" t="s">
        <v>5618</v>
      </c>
      <c r="O1171" t="s">
        <v>29</v>
      </c>
      <c r="P1171" t="s">
        <v>30</v>
      </c>
      <c r="Q1171" t="s">
        <v>5619</v>
      </c>
      <c r="R1171">
        <v>1619.63</v>
      </c>
      <c r="S1171">
        <v>3</v>
      </c>
      <c r="T1171">
        <v>0.3</v>
      </c>
      <c r="U1171">
        <v>201.67</v>
      </c>
    </row>
    <row r="1172" spans="1:21" x14ac:dyDescent="0.35">
      <c r="A1172" t="s">
        <v>5620</v>
      </c>
      <c r="B1172" s="2">
        <v>42749</v>
      </c>
      <c r="C1172" s="2" t="str">
        <f t="shared" si="36"/>
        <v>January</v>
      </c>
      <c r="D1172" s="2" t="str">
        <f t="shared" si="37"/>
        <v>2017</v>
      </c>
      <c r="E1172" s="2" t="s">
        <v>6133</v>
      </c>
      <c r="F1172" t="s">
        <v>52</v>
      </c>
      <c r="G1172" t="s">
        <v>5621</v>
      </c>
      <c r="H1172" t="s">
        <v>1955</v>
      </c>
      <c r="I1172" t="s">
        <v>23</v>
      </c>
      <c r="J1172" t="s">
        <v>24</v>
      </c>
      <c r="K1172" t="s">
        <v>212</v>
      </c>
      <c r="L1172" t="s">
        <v>115</v>
      </c>
      <c r="M1172" t="s">
        <v>57</v>
      </c>
      <c r="N1172" t="s">
        <v>5622</v>
      </c>
      <c r="O1172" t="s">
        <v>48</v>
      </c>
      <c r="P1172" t="s">
        <v>49</v>
      </c>
      <c r="Q1172" t="s">
        <v>5623</v>
      </c>
      <c r="R1172">
        <v>257.43</v>
      </c>
      <c r="S1172">
        <v>1</v>
      </c>
      <c r="T1172">
        <v>0</v>
      </c>
      <c r="U1172">
        <v>5.63</v>
      </c>
    </row>
    <row r="1173" spans="1:21" x14ac:dyDescent="0.35">
      <c r="A1173" t="s">
        <v>5624</v>
      </c>
      <c r="B1173" s="2">
        <v>43263</v>
      </c>
      <c r="C1173" s="2" t="str">
        <f t="shared" si="36"/>
        <v>June</v>
      </c>
      <c r="D1173" s="2" t="str">
        <f t="shared" si="37"/>
        <v>2018</v>
      </c>
      <c r="E1173" s="2" t="s">
        <v>6108</v>
      </c>
      <c r="F1173" t="s">
        <v>62</v>
      </c>
      <c r="G1173" t="s">
        <v>5625</v>
      </c>
      <c r="H1173" t="s">
        <v>5626</v>
      </c>
      <c r="I1173" t="s">
        <v>23</v>
      </c>
      <c r="J1173" t="s">
        <v>24</v>
      </c>
      <c r="K1173" t="s">
        <v>25</v>
      </c>
      <c r="L1173" t="s">
        <v>115</v>
      </c>
      <c r="M1173" t="s">
        <v>57</v>
      </c>
      <c r="N1173" t="s">
        <v>5627</v>
      </c>
      <c r="O1173" t="s">
        <v>29</v>
      </c>
      <c r="P1173" t="s">
        <v>155</v>
      </c>
      <c r="Q1173" t="s">
        <v>5628</v>
      </c>
      <c r="R1173">
        <v>1159.17</v>
      </c>
      <c r="S1173">
        <v>8</v>
      </c>
      <c r="T1173">
        <v>0.1</v>
      </c>
      <c r="U1173">
        <v>184.11</v>
      </c>
    </row>
    <row r="1174" spans="1:21" x14ac:dyDescent="0.35">
      <c r="A1174" t="s">
        <v>5629</v>
      </c>
      <c r="B1174" s="2">
        <v>42663</v>
      </c>
      <c r="C1174" s="2" t="str">
        <f t="shared" si="36"/>
        <v>October</v>
      </c>
      <c r="D1174" s="2" t="str">
        <f t="shared" si="37"/>
        <v>2016</v>
      </c>
      <c r="E1174" s="2" t="s">
        <v>5916</v>
      </c>
      <c r="F1174" t="s">
        <v>42</v>
      </c>
      <c r="G1174" t="s">
        <v>5630</v>
      </c>
      <c r="H1174" t="s">
        <v>5501</v>
      </c>
      <c r="I1174" t="s">
        <v>23</v>
      </c>
      <c r="J1174" t="s">
        <v>24</v>
      </c>
      <c r="K1174" t="s">
        <v>45</v>
      </c>
      <c r="L1174" t="s">
        <v>115</v>
      </c>
      <c r="M1174" t="s">
        <v>27</v>
      </c>
      <c r="N1174" t="s">
        <v>5631</v>
      </c>
      <c r="O1174" t="s">
        <v>67</v>
      </c>
      <c r="P1174" t="s">
        <v>350</v>
      </c>
      <c r="Q1174" t="s">
        <v>5632</v>
      </c>
      <c r="R1174">
        <v>551.97</v>
      </c>
      <c r="S1174">
        <v>7</v>
      </c>
      <c r="T1174">
        <v>0</v>
      </c>
      <c r="U1174">
        <v>-155.65</v>
      </c>
    </row>
    <row r="1175" spans="1:21" x14ac:dyDescent="0.35">
      <c r="A1175" t="s">
        <v>5633</v>
      </c>
      <c r="B1175" s="2">
        <v>42411</v>
      </c>
      <c r="C1175" s="2" t="str">
        <f t="shared" si="36"/>
        <v>February</v>
      </c>
      <c r="D1175" s="2" t="str">
        <f t="shared" si="37"/>
        <v>2016</v>
      </c>
      <c r="E1175" s="2" t="s">
        <v>6135</v>
      </c>
      <c r="F1175" t="s">
        <v>52</v>
      </c>
      <c r="G1175" t="s">
        <v>5634</v>
      </c>
      <c r="H1175" t="s">
        <v>4582</v>
      </c>
      <c r="I1175" t="s">
        <v>23</v>
      </c>
      <c r="J1175" t="s">
        <v>24</v>
      </c>
      <c r="K1175" t="s">
        <v>133</v>
      </c>
      <c r="L1175" t="s">
        <v>82</v>
      </c>
      <c r="M1175" t="s">
        <v>74</v>
      </c>
      <c r="N1175" t="s">
        <v>5635</v>
      </c>
      <c r="O1175" t="s">
        <v>48</v>
      </c>
      <c r="P1175" t="s">
        <v>59</v>
      </c>
      <c r="Q1175" t="s">
        <v>5636</v>
      </c>
      <c r="R1175">
        <v>994.89</v>
      </c>
      <c r="S1175">
        <v>7</v>
      </c>
      <c r="T1175">
        <v>0</v>
      </c>
      <c r="U1175">
        <v>196.9</v>
      </c>
    </row>
    <row r="1176" spans="1:21" x14ac:dyDescent="0.35">
      <c r="A1176" t="s">
        <v>5637</v>
      </c>
      <c r="B1176" s="2">
        <v>42592</v>
      </c>
      <c r="C1176" s="2" t="str">
        <f t="shared" si="36"/>
        <v>August</v>
      </c>
      <c r="D1176" s="2" t="str">
        <f t="shared" si="37"/>
        <v>2016</v>
      </c>
      <c r="E1176" s="2" t="s">
        <v>6390</v>
      </c>
      <c r="F1176" t="s">
        <v>20</v>
      </c>
      <c r="G1176" t="s">
        <v>5638</v>
      </c>
      <c r="H1176" t="s">
        <v>5639</v>
      </c>
      <c r="I1176" t="s">
        <v>55</v>
      </c>
      <c r="J1176" t="s">
        <v>24</v>
      </c>
      <c r="K1176" t="s">
        <v>36</v>
      </c>
      <c r="L1176" t="s">
        <v>46</v>
      </c>
      <c r="M1176" t="s">
        <v>83</v>
      </c>
      <c r="N1176" t="s">
        <v>5640</v>
      </c>
      <c r="O1176" t="s">
        <v>29</v>
      </c>
      <c r="P1176" t="s">
        <v>30</v>
      </c>
      <c r="Q1176" t="s">
        <v>5641</v>
      </c>
      <c r="R1176">
        <v>18.690000000000001</v>
      </c>
      <c r="S1176">
        <v>6</v>
      </c>
      <c r="T1176">
        <v>0</v>
      </c>
      <c r="U1176">
        <v>-2.96</v>
      </c>
    </row>
    <row r="1177" spans="1:21" x14ac:dyDescent="0.35">
      <c r="A1177" t="s">
        <v>5642</v>
      </c>
      <c r="B1177" s="2">
        <v>43789</v>
      </c>
      <c r="C1177" s="2" t="str">
        <f t="shared" si="36"/>
        <v>November</v>
      </c>
      <c r="D1177" s="2" t="str">
        <f t="shared" si="37"/>
        <v>2019</v>
      </c>
      <c r="E1177" s="2" t="s">
        <v>6391</v>
      </c>
      <c r="F1177" t="s">
        <v>62</v>
      </c>
      <c r="G1177" t="s">
        <v>5643</v>
      </c>
      <c r="H1177" t="s">
        <v>5644</v>
      </c>
      <c r="I1177" t="s">
        <v>55</v>
      </c>
      <c r="J1177" t="s">
        <v>24</v>
      </c>
      <c r="K1177" t="s">
        <v>133</v>
      </c>
      <c r="L1177" t="s">
        <v>90</v>
      </c>
      <c r="M1177" t="s">
        <v>57</v>
      </c>
      <c r="N1177" t="s">
        <v>5645</v>
      </c>
      <c r="O1177" t="s">
        <v>67</v>
      </c>
      <c r="P1177" t="s">
        <v>350</v>
      </c>
      <c r="Q1177" t="s">
        <v>5646</v>
      </c>
      <c r="R1177">
        <v>1518.66</v>
      </c>
      <c r="S1177">
        <v>7</v>
      </c>
      <c r="T1177">
        <v>0</v>
      </c>
      <c r="U1177">
        <v>158.78</v>
      </c>
    </row>
    <row r="1178" spans="1:21" x14ac:dyDescent="0.35">
      <c r="A1178" t="s">
        <v>5647</v>
      </c>
      <c r="B1178" s="2">
        <v>43315</v>
      </c>
      <c r="C1178" s="2" t="str">
        <f t="shared" si="36"/>
        <v>August</v>
      </c>
      <c r="D1178" s="2" t="str">
        <f t="shared" si="37"/>
        <v>2018</v>
      </c>
      <c r="E1178" s="2">
        <v>43198</v>
      </c>
      <c r="F1178" t="s">
        <v>42</v>
      </c>
      <c r="G1178" t="s">
        <v>5648</v>
      </c>
      <c r="H1178" t="s">
        <v>5649</v>
      </c>
      <c r="I1178" t="s">
        <v>55</v>
      </c>
      <c r="J1178" t="s">
        <v>24</v>
      </c>
      <c r="K1178" t="s">
        <v>36</v>
      </c>
      <c r="L1178" t="s">
        <v>115</v>
      </c>
      <c r="M1178" t="s">
        <v>27</v>
      </c>
      <c r="N1178" t="s">
        <v>5650</v>
      </c>
      <c r="O1178" t="s">
        <v>29</v>
      </c>
      <c r="P1178" t="s">
        <v>39</v>
      </c>
      <c r="Q1178" t="s">
        <v>752</v>
      </c>
      <c r="R1178">
        <v>1316.64</v>
      </c>
      <c r="S1178">
        <v>6</v>
      </c>
      <c r="T1178">
        <v>0.2</v>
      </c>
      <c r="U1178">
        <v>492.77</v>
      </c>
    </row>
    <row r="1179" spans="1:21" x14ac:dyDescent="0.35">
      <c r="A1179" t="s">
        <v>5651</v>
      </c>
      <c r="B1179" s="2">
        <v>42601</v>
      </c>
      <c r="C1179" s="2" t="str">
        <f t="shared" si="36"/>
        <v>August</v>
      </c>
      <c r="D1179" s="2" t="str">
        <f t="shared" si="37"/>
        <v>2016</v>
      </c>
      <c r="E1179" s="2" t="s">
        <v>6335</v>
      </c>
      <c r="F1179" t="s">
        <v>52</v>
      </c>
      <c r="G1179" t="s">
        <v>5652</v>
      </c>
      <c r="H1179" t="s">
        <v>5653</v>
      </c>
      <c r="I1179" t="s">
        <v>55</v>
      </c>
      <c r="J1179" t="s">
        <v>24</v>
      </c>
      <c r="K1179" t="s">
        <v>133</v>
      </c>
      <c r="L1179" t="s">
        <v>37</v>
      </c>
      <c r="M1179" t="s">
        <v>74</v>
      </c>
      <c r="N1179" t="s">
        <v>5654</v>
      </c>
      <c r="O1179" t="s">
        <v>67</v>
      </c>
      <c r="P1179" t="s">
        <v>197</v>
      </c>
      <c r="Q1179" t="s">
        <v>3031</v>
      </c>
      <c r="R1179">
        <v>1511.64</v>
      </c>
      <c r="S1179">
        <v>2</v>
      </c>
      <c r="T1179">
        <v>0.2</v>
      </c>
      <c r="U1179">
        <v>281.75</v>
      </c>
    </row>
    <row r="1180" spans="1:21" x14ac:dyDescent="0.35">
      <c r="A1180" t="s">
        <v>5655</v>
      </c>
      <c r="B1180" s="2">
        <v>43756</v>
      </c>
      <c r="C1180" s="2" t="str">
        <f t="shared" si="36"/>
        <v>October</v>
      </c>
      <c r="D1180" s="2" t="str">
        <f t="shared" si="37"/>
        <v>2019</v>
      </c>
      <c r="E1180" s="2" t="s">
        <v>6392</v>
      </c>
      <c r="F1180" t="s">
        <v>52</v>
      </c>
      <c r="G1180" t="s">
        <v>5656</v>
      </c>
      <c r="H1180" t="s">
        <v>5657</v>
      </c>
      <c r="I1180" t="s">
        <v>23</v>
      </c>
      <c r="J1180" t="s">
        <v>24</v>
      </c>
      <c r="K1180" t="s">
        <v>103</v>
      </c>
      <c r="L1180" t="s">
        <v>65</v>
      </c>
      <c r="M1180" t="s">
        <v>83</v>
      </c>
      <c r="N1180" t="s">
        <v>5658</v>
      </c>
      <c r="O1180" t="s">
        <v>67</v>
      </c>
      <c r="P1180" t="s">
        <v>229</v>
      </c>
      <c r="Q1180" t="s">
        <v>361</v>
      </c>
      <c r="R1180">
        <v>59.78</v>
      </c>
      <c r="S1180">
        <v>10</v>
      </c>
      <c r="T1180">
        <v>0.1</v>
      </c>
      <c r="U1180">
        <v>-7.93</v>
      </c>
    </row>
    <row r="1181" spans="1:21" x14ac:dyDescent="0.35">
      <c r="A1181" t="s">
        <v>5659</v>
      </c>
      <c r="B1181" s="2">
        <v>42784</v>
      </c>
      <c r="C1181" s="2" t="str">
        <f t="shared" si="36"/>
        <v>February</v>
      </c>
      <c r="D1181" s="2" t="str">
        <f t="shared" si="37"/>
        <v>2017</v>
      </c>
      <c r="E1181" s="2" t="s">
        <v>6036</v>
      </c>
      <c r="F1181" t="s">
        <v>42</v>
      </c>
      <c r="G1181" t="s">
        <v>5660</v>
      </c>
      <c r="H1181" t="s">
        <v>5661</v>
      </c>
      <c r="I1181" t="s">
        <v>23</v>
      </c>
      <c r="J1181" t="s">
        <v>24</v>
      </c>
      <c r="K1181" t="s">
        <v>97</v>
      </c>
      <c r="L1181" t="s">
        <v>115</v>
      </c>
      <c r="M1181" t="s">
        <v>83</v>
      </c>
      <c r="N1181" t="s">
        <v>5662</v>
      </c>
      <c r="O1181" t="s">
        <v>48</v>
      </c>
      <c r="P1181" t="s">
        <v>59</v>
      </c>
      <c r="Q1181" t="s">
        <v>1404</v>
      </c>
      <c r="R1181">
        <v>215.89</v>
      </c>
      <c r="S1181">
        <v>2</v>
      </c>
      <c r="T1181">
        <v>0</v>
      </c>
      <c r="U1181">
        <v>-51.98</v>
      </c>
    </row>
    <row r="1182" spans="1:21" x14ac:dyDescent="0.35">
      <c r="A1182" t="s">
        <v>5663</v>
      </c>
      <c r="B1182" s="2">
        <v>43195</v>
      </c>
      <c r="C1182" s="2" t="str">
        <f t="shared" si="36"/>
        <v>April</v>
      </c>
      <c r="D1182" s="2" t="str">
        <f t="shared" si="37"/>
        <v>2018</v>
      </c>
      <c r="E1182" s="2" t="s">
        <v>5965</v>
      </c>
      <c r="F1182" t="s">
        <v>52</v>
      </c>
      <c r="G1182" t="s">
        <v>5664</v>
      </c>
      <c r="H1182" t="s">
        <v>5665</v>
      </c>
      <c r="I1182" t="s">
        <v>35</v>
      </c>
      <c r="J1182" t="s">
        <v>24</v>
      </c>
      <c r="K1182" t="s">
        <v>81</v>
      </c>
      <c r="L1182" t="s">
        <v>36</v>
      </c>
      <c r="M1182" t="s">
        <v>57</v>
      </c>
      <c r="N1182" t="s">
        <v>5666</v>
      </c>
      <c r="O1182" t="s">
        <v>48</v>
      </c>
      <c r="P1182" t="s">
        <v>128</v>
      </c>
      <c r="Q1182" t="s">
        <v>5667</v>
      </c>
      <c r="R1182">
        <v>709.72</v>
      </c>
      <c r="S1182">
        <v>4</v>
      </c>
      <c r="T1182">
        <v>0</v>
      </c>
      <c r="U1182">
        <v>10.050000000000001</v>
      </c>
    </row>
    <row r="1183" spans="1:21" x14ac:dyDescent="0.35">
      <c r="A1183" t="s">
        <v>5668</v>
      </c>
      <c r="B1183" s="2">
        <v>42905</v>
      </c>
      <c r="C1183" s="2" t="str">
        <f t="shared" si="36"/>
        <v>June</v>
      </c>
      <c r="D1183" s="2" t="str">
        <f t="shared" si="37"/>
        <v>2017</v>
      </c>
      <c r="E1183" s="2" t="s">
        <v>6091</v>
      </c>
      <c r="F1183" t="s">
        <v>20</v>
      </c>
      <c r="G1183" t="s">
        <v>5669</v>
      </c>
      <c r="H1183" t="s">
        <v>5670</v>
      </c>
      <c r="I1183" t="s">
        <v>55</v>
      </c>
      <c r="J1183" t="s">
        <v>24</v>
      </c>
      <c r="K1183" t="s">
        <v>45</v>
      </c>
      <c r="L1183" t="s">
        <v>82</v>
      </c>
      <c r="M1183" t="s">
        <v>83</v>
      </c>
      <c r="N1183" t="s">
        <v>5671</v>
      </c>
      <c r="O1183" t="s">
        <v>48</v>
      </c>
      <c r="P1183" t="s">
        <v>59</v>
      </c>
      <c r="Q1183" t="s">
        <v>5672</v>
      </c>
      <c r="R1183">
        <v>1456.98</v>
      </c>
      <c r="S1183">
        <v>6</v>
      </c>
      <c r="T1183">
        <v>0</v>
      </c>
      <c r="U1183">
        <v>636.54999999999995</v>
      </c>
    </row>
    <row r="1184" spans="1:21" x14ac:dyDescent="0.35">
      <c r="A1184" t="s">
        <v>5673</v>
      </c>
      <c r="B1184" s="2">
        <v>43086</v>
      </c>
      <c r="C1184" s="2" t="str">
        <f t="shared" si="36"/>
        <v>December</v>
      </c>
      <c r="D1184" s="2" t="str">
        <f t="shared" si="37"/>
        <v>2017</v>
      </c>
      <c r="E1184" s="2" t="s">
        <v>5942</v>
      </c>
      <c r="F1184" t="s">
        <v>42</v>
      </c>
      <c r="G1184" t="s">
        <v>5674</v>
      </c>
      <c r="H1184" t="s">
        <v>5675</v>
      </c>
      <c r="I1184" t="s">
        <v>35</v>
      </c>
      <c r="J1184" t="s">
        <v>24</v>
      </c>
      <c r="K1184" t="s">
        <v>73</v>
      </c>
      <c r="L1184" t="s">
        <v>46</v>
      </c>
      <c r="M1184" t="s">
        <v>74</v>
      </c>
      <c r="N1184" t="s">
        <v>5676</v>
      </c>
      <c r="O1184" t="s">
        <v>29</v>
      </c>
      <c r="P1184" t="s">
        <v>110</v>
      </c>
      <c r="Q1184" t="s">
        <v>603</v>
      </c>
      <c r="R1184">
        <v>1199.28</v>
      </c>
      <c r="S1184">
        <v>5</v>
      </c>
      <c r="T1184">
        <v>0.4</v>
      </c>
      <c r="U1184">
        <v>-305.73</v>
      </c>
    </row>
    <row r="1185" spans="1:21" x14ac:dyDescent="0.35">
      <c r="A1185" t="s">
        <v>5677</v>
      </c>
      <c r="B1185" s="2">
        <v>43287</v>
      </c>
      <c r="C1185" s="2" t="str">
        <f t="shared" si="36"/>
        <v>July</v>
      </c>
      <c r="D1185" s="2" t="str">
        <f t="shared" si="37"/>
        <v>2018</v>
      </c>
      <c r="E1185" s="2">
        <v>43441</v>
      </c>
      <c r="F1185" t="s">
        <v>42</v>
      </c>
      <c r="G1185" t="s">
        <v>5678</v>
      </c>
      <c r="H1185" t="s">
        <v>5679</v>
      </c>
      <c r="I1185" t="s">
        <v>55</v>
      </c>
      <c r="J1185" t="s">
        <v>24</v>
      </c>
      <c r="K1185" t="s">
        <v>36</v>
      </c>
      <c r="L1185" t="s">
        <v>115</v>
      </c>
      <c r="M1185" t="s">
        <v>74</v>
      </c>
      <c r="N1185" t="s">
        <v>5680</v>
      </c>
      <c r="O1185" t="s">
        <v>48</v>
      </c>
      <c r="P1185" t="s">
        <v>76</v>
      </c>
      <c r="Q1185" t="s">
        <v>5681</v>
      </c>
      <c r="R1185">
        <v>781.24</v>
      </c>
      <c r="S1185">
        <v>3</v>
      </c>
      <c r="T1185">
        <v>0.1</v>
      </c>
      <c r="U1185">
        <v>149.27000000000001</v>
      </c>
    </row>
    <row r="1186" spans="1:21" x14ac:dyDescent="0.35">
      <c r="A1186" t="s">
        <v>5682</v>
      </c>
      <c r="B1186" s="2">
        <v>42688</v>
      </c>
      <c r="C1186" s="2" t="str">
        <f t="shared" si="36"/>
        <v>November</v>
      </c>
      <c r="D1186" s="2" t="str">
        <f t="shared" si="37"/>
        <v>2016</v>
      </c>
      <c r="E1186" s="2" t="s">
        <v>6047</v>
      </c>
      <c r="F1186" t="s">
        <v>20</v>
      </c>
      <c r="G1186" t="s">
        <v>5683</v>
      </c>
      <c r="H1186" t="s">
        <v>5684</v>
      </c>
      <c r="I1186" t="s">
        <v>23</v>
      </c>
      <c r="J1186" t="s">
        <v>24</v>
      </c>
      <c r="K1186" t="s">
        <v>73</v>
      </c>
      <c r="L1186" t="s">
        <v>170</v>
      </c>
      <c r="M1186" t="s">
        <v>83</v>
      </c>
      <c r="N1186" t="s">
        <v>5685</v>
      </c>
      <c r="O1186" t="s">
        <v>67</v>
      </c>
      <c r="P1186" t="s">
        <v>350</v>
      </c>
      <c r="Q1186" t="s">
        <v>5686</v>
      </c>
      <c r="R1186">
        <v>1239.8800000000001</v>
      </c>
      <c r="S1186">
        <v>2</v>
      </c>
      <c r="T1186">
        <v>0.3</v>
      </c>
      <c r="U1186">
        <v>-168.67</v>
      </c>
    </row>
    <row r="1187" spans="1:21" x14ac:dyDescent="0.35">
      <c r="A1187" t="s">
        <v>5687</v>
      </c>
      <c r="B1187" s="2">
        <v>42528</v>
      </c>
      <c r="C1187" s="2" t="str">
        <f t="shared" si="36"/>
        <v>June</v>
      </c>
      <c r="D1187" s="2" t="str">
        <f t="shared" si="37"/>
        <v>2016</v>
      </c>
      <c r="E1187" s="2" t="s">
        <v>6029</v>
      </c>
      <c r="F1187" t="s">
        <v>20</v>
      </c>
      <c r="G1187" t="s">
        <v>5688</v>
      </c>
      <c r="H1187" t="s">
        <v>5689</v>
      </c>
      <c r="I1187" t="s">
        <v>35</v>
      </c>
      <c r="J1187" t="s">
        <v>24</v>
      </c>
      <c r="K1187" t="s">
        <v>25</v>
      </c>
      <c r="L1187" t="s">
        <v>56</v>
      </c>
      <c r="M1187" t="s">
        <v>27</v>
      </c>
      <c r="N1187" t="s">
        <v>5690</v>
      </c>
      <c r="O1187" t="s">
        <v>67</v>
      </c>
      <c r="P1187" t="s">
        <v>350</v>
      </c>
      <c r="Q1187" t="s">
        <v>5691</v>
      </c>
      <c r="R1187">
        <v>1520.3</v>
      </c>
      <c r="S1187">
        <v>7</v>
      </c>
      <c r="T1187">
        <v>0.2</v>
      </c>
      <c r="U1187">
        <v>-385.22</v>
      </c>
    </row>
    <row r="1188" spans="1:21" x14ac:dyDescent="0.35">
      <c r="A1188" t="s">
        <v>5692</v>
      </c>
      <c r="B1188" s="2">
        <v>42993</v>
      </c>
      <c r="C1188" s="2" t="str">
        <f t="shared" si="36"/>
        <v>September</v>
      </c>
      <c r="D1188" s="2" t="str">
        <f t="shared" si="37"/>
        <v>2017</v>
      </c>
      <c r="E1188" s="2" t="s">
        <v>6268</v>
      </c>
      <c r="F1188" t="s">
        <v>52</v>
      </c>
      <c r="G1188" t="s">
        <v>5693</v>
      </c>
      <c r="H1188" t="s">
        <v>5694</v>
      </c>
      <c r="I1188" t="s">
        <v>23</v>
      </c>
      <c r="J1188" t="s">
        <v>24</v>
      </c>
      <c r="K1188" t="s">
        <v>45</v>
      </c>
      <c r="L1188" t="s">
        <v>90</v>
      </c>
      <c r="M1188" t="s">
        <v>74</v>
      </c>
      <c r="N1188" t="s">
        <v>5695</v>
      </c>
      <c r="O1188" t="s">
        <v>29</v>
      </c>
      <c r="P1188" t="s">
        <v>110</v>
      </c>
      <c r="Q1188" t="s">
        <v>5696</v>
      </c>
      <c r="R1188">
        <v>546.45000000000005</v>
      </c>
      <c r="S1188">
        <v>5</v>
      </c>
      <c r="T1188">
        <v>0</v>
      </c>
      <c r="U1188">
        <v>-140.16999999999999</v>
      </c>
    </row>
    <row r="1189" spans="1:21" x14ac:dyDescent="0.35">
      <c r="A1189" t="s">
        <v>5697</v>
      </c>
      <c r="B1189" s="2">
        <v>42979</v>
      </c>
      <c r="C1189" s="2" t="str">
        <f t="shared" si="36"/>
        <v>September</v>
      </c>
      <c r="D1189" s="2" t="str">
        <f t="shared" si="37"/>
        <v>2017</v>
      </c>
      <c r="E1189" s="2">
        <v>42895</v>
      </c>
      <c r="F1189" t="s">
        <v>20</v>
      </c>
      <c r="G1189" t="s">
        <v>5698</v>
      </c>
      <c r="H1189" t="s">
        <v>5699</v>
      </c>
      <c r="I1189" t="s">
        <v>55</v>
      </c>
      <c r="J1189" t="s">
        <v>24</v>
      </c>
      <c r="K1189" t="s">
        <v>212</v>
      </c>
      <c r="L1189" t="s">
        <v>90</v>
      </c>
      <c r="M1189" t="s">
        <v>83</v>
      </c>
      <c r="N1189" t="s">
        <v>5700</v>
      </c>
      <c r="O1189" t="s">
        <v>48</v>
      </c>
      <c r="P1189" t="s">
        <v>128</v>
      </c>
      <c r="Q1189" t="s">
        <v>5701</v>
      </c>
      <c r="R1189">
        <v>18.09</v>
      </c>
      <c r="S1189">
        <v>9</v>
      </c>
      <c r="T1189">
        <v>0</v>
      </c>
      <c r="U1189">
        <v>-4.71</v>
      </c>
    </row>
    <row r="1190" spans="1:21" x14ac:dyDescent="0.35">
      <c r="A1190" t="s">
        <v>5702</v>
      </c>
      <c r="B1190" s="2">
        <v>43286</v>
      </c>
      <c r="C1190" s="2" t="str">
        <f t="shared" si="36"/>
        <v>July</v>
      </c>
      <c r="D1190" s="2" t="str">
        <f t="shared" si="37"/>
        <v>2018</v>
      </c>
      <c r="E1190" s="2">
        <v>43288</v>
      </c>
      <c r="F1190" t="s">
        <v>20</v>
      </c>
      <c r="G1190" t="s">
        <v>5703</v>
      </c>
      <c r="H1190" t="s">
        <v>5704</v>
      </c>
      <c r="I1190" t="s">
        <v>55</v>
      </c>
      <c r="J1190" t="s">
        <v>24</v>
      </c>
      <c r="K1190" t="s">
        <v>103</v>
      </c>
      <c r="L1190" t="s">
        <v>170</v>
      </c>
      <c r="M1190" t="s">
        <v>74</v>
      </c>
      <c r="N1190" t="s">
        <v>5705</v>
      </c>
      <c r="O1190" t="s">
        <v>29</v>
      </c>
      <c r="P1190" t="s">
        <v>30</v>
      </c>
      <c r="Q1190" t="s">
        <v>5460</v>
      </c>
      <c r="R1190">
        <v>1987.22</v>
      </c>
      <c r="S1190">
        <v>5</v>
      </c>
      <c r="T1190">
        <v>0</v>
      </c>
      <c r="U1190">
        <v>-561.19000000000005</v>
      </c>
    </row>
    <row r="1191" spans="1:21" x14ac:dyDescent="0.35">
      <c r="A1191" t="s">
        <v>5706</v>
      </c>
      <c r="B1191" s="2">
        <v>43164</v>
      </c>
      <c r="C1191" s="2" t="str">
        <f t="shared" si="36"/>
        <v>March</v>
      </c>
      <c r="D1191" s="2" t="str">
        <f t="shared" si="37"/>
        <v>2018</v>
      </c>
      <c r="E1191" s="2">
        <v>43284</v>
      </c>
      <c r="F1191" t="s">
        <v>62</v>
      </c>
      <c r="G1191" t="s">
        <v>5707</v>
      </c>
      <c r="H1191" t="s">
        <v>5708</v>
      </c>
      <c r="I1191" t="s">
        <v>55</v>
      </c>
      <c r="J1191" t="s">
        <v>24</v>
      </c>
      <c r="K1191" t="s">
        <v>45</v>
      </c>
      <c r="L1191" t="s">
        <v>170</v>
      </c>
      <c r="M1191" t="s">
        <v>74</v>
      </c>
      <c r="N1191" t="s">
        <v>5709</v>
      </c>
      <c r="O1191" t="s">
        <v>29</v>
      </c>
      <c r="P1191" t="s">
        <v>110</v>
      </c>
      <c r="Q1191" t="s">
        <v>5710</v>
      </c>
      <c r="R1191">
        <v>1561.63</v>
      </c>
      <c r="S1191">
        <v>5</v>
      </c>
      <c r="T1191">
        <v>0.4</v>
      </c>
      <c r="U1191">
        <v>-134.26</v>
      </c>
    </row>
    <row r="1192" spans="1:21" x14ac:dyDescent="0.35">
      <c r="A1192" t="s">
        <v>5711</v>
      </c>
      <c r="B1192" s="2">
        <v>43682</v>
      </c>
      <c r="C1192" s="2" t="str">
        <f t="shared" si="36"/>
        <v>August</v>
      </c>
      <c r="D1192" s="2" t="str">
        <f t="shared" si="37"/>
        <v>2019</v>
      </c>
      <c r="E1192" s="2">
        <v>43654</v>
      </c>
      <c r="F1192" t="s">
        <v>52</v>
      </c>
      <c r="G1192" t="s">
        <v>5712</v>
      </c>
      <c r="H1192" t="s">
        <v>5713</v>
      </c>
      <c r="I1192" t="s">
        <v>23</v>
      </c>
      <c r="J1192" t="s">
        <v>24</v>
      </c>
      <c r="K1192" t="s">
        <v>97</v>
      </c>
      <c r="L1192" t="s">
        <v>82</v>
      </c>
      <c r="M1192" t="s">
        <v>27</v>
      </c>
      <c r="N1192" t="s">
        <v>5714</v>
      </c>
      <c r="O1192" t="s">
        <v>48</v>
      </c>
      <c r="P1192" t="s">
        <v>128</v>
      </c>
      <c r="Q1192" t="s">
        <v>5715</v>
      </c>
      <c r="R1192">
        <v>520.9</v>
      </c>
      <c r="S1192">
        <v>2</v>
      </c>
      <c r="T1192">
        <v>0.4</v>
      </c>
      <c r="U1192">
        <v>-24.47</v>
      </c>
    </row>
    <row r="1193" spans="1:21" x14ac:dyDescent="0.35">
      <c r="A1193" t="s">
        <v>5716</v>
      </c>
      <c r="B1193" s="2">
        <v>43232</v>
      </c>
      <c r="C1193" s="2" t="str">
        <f t="shared" si="36"/>
        <v>May</v>
      </c>
      <c r="D1193" s="2" t="str">
        <f t="shared" si="37"/>
        <v>2018</v>
      </c>
      <c r="E1193" s="2" t="s">
        <v>6120</v>
      </c>
      <c r="F1193" t="s">
        <v>20</v>
      </c>
      <c r="G1193" t="s">
        <v>5717</v>
      </c>
      <c r="H1193" t="s">
        <v>5718</v>
      </c>
      <c r="I1193" t="s">
        <v>23</v>
      </c>
      <c r="J1193" t="s">
        <v>24</v>
      </c>
      <c r="K1193" t="s">
        <v>89</v>
      </c>
      <c r="L1193" t="s">
        <v>65</v>
      </c>
      <c r="M1193" t="s">
        <v>74</v>
      </c>
      <c r="N1193" t="s">
        <v>5719</v>
      </c>
      <c r="O1193" t="s">
        <v>67</v>
      </c>
      <c r="P1193" t="s">
        <v>197</v>
      </c>
      <c r="Q1193" t="s">
        <v>5720</v>
      </c>
      <c r="R1193">
        <v>1675.63</v>
      </c>
      <c r="S1193">
        <v>2</v>
      </c>
      <c r="T1193">
        <v>0.4</v>
      </c>
      <c r="U1193">
        <v>-225.78</v>
      </c>
    </row>
    <row r="1194" spans="1:21" x14ac:dyDescent="0.35">
      <c r="A1194" t="s">
        <v>5721</v>
      </c>
      <c r="B1194" s="2">
        <v>43719</v>
      </c>
      <c r="C1194" s="2" t="str">
        <f t="shared" si="36"/>
        <v>September</v>
      </c>
      <c r="D1194" s="2" t="str">
        <f t="shared" si="37"/>
        <v>2019</v>
      </c>
      <c r="E1194" s="2" t="s">
        <v>6043</v>
      </c>
      <c r="F1194" t="s">
        <v>42</v>
      </c>
      <c r="G1194" t="s">
        <v>5722</v>
      </c>
      <c r="H1194" t="s">
        <v>1582</v>
      </c>
      <c r="I1194" t="s">
        <v>35</v>
      </c>
      <c r="J1194" t="s">
        <v>24</v>
      </c>
      <c r="K1194" t="s">
        <v>45</v>
      </c>
      <c r="L1194" t="s">
        <v>26</v>
      </c>
      <c r="M1194" t="s">
        <v>74</v>
      </c>
      <c r="N1194" t="s">
        <v>5723</v>
      </c>
      <c r="O1194" t="s">
        <v>48</v>
      </c>
      <c r="P1194" t="s">
        <v>59</v>
      </c>
      <c r="Q1194" t="s">
        <v>5724</v>
      </c>
      <c r="R1194">
        <v>153.43</v>
      </c>
      <c r="S1194">
        <v>4</v>
      </c>
      <c r="T1194">
        <v>0</v>
      </c>
      <c r="U1194">
        <v>-38.479999999999997</v>
      </c>
    </row>
    <row r="1195" spans="1:21" x14ac:dyDescent="0.35">
      <c r="A1195" t="s">
        <v>5725</v>
      </c>
      <c r="B1195" s="2">
        <v>42544</v>
      </c>
      <c r="C1195" s="2" t="str">
        <f t="shared" si="36"/>
        <v>June</v>
      </c>
      <c r="D1195" s="2" t="str">
        <f t="shared" si="37"/>
        <v>2016</v>
      </c>
      <c r="E1195" s="2" t="s">
        <v>5986</v>
      </c>
      <c r="F1195" t="s">
        <v>20</v>
      </c>
      <c r="G1195" t="s">
        <v>5726</v>
      </c>
      <c r="H1195" t="s">
        <v>5477</v>
      </c>
      <c r="I1195" t="s">
        <v>35</v>
      </c>
      <c r="J1195" t="s">
        <v>24</v>
      </c>
      <c r="K1195" t="s">
        <v>73</v>
      </c>
      <c r="L1195" t="s">
        <v>82</v>
      </c>
      <c r="M1195" t="s">
        <v>83</v>
      </c>
      <c r="N1195" t="s">
        <v>5727</v>
      </c>
      <c r="O1195" t="s">
        <v>29</v>
      </c>
      <c r="P1195" t="s">
        <v>30</v>
      </c>
      <c r="Q1195" t="s">
        <v>2173</v>
      </c>
      <c r="R1195">
        <v>1427.2</v>
      </c>
      <c r="S1195">
        <v>6</v>
      </c>
      <c r="T1195">
        <v>0.1</v>
      </c>
      <c r="U1195">
        <v>648.04</v>
      </c>
    </row>
    <row r="1196" spans="1:21" x14ac:dyDescent="0.35">
      <c r="A1196" t="s">
        <v>5728</v>
      </c>
      <c r="B1196" s="2">
        <v>42799</v>
      </c>
      <c r="C1196" s="2" t="str">
        <f t="shared" si="36"/>
        <v>March</v>
      </c>
      <c r="D1196" s="2" t="str">
        <f t="shared" si="37"/>
        <v>2017</v>
      </c>
      <c r="E1196" s="2">
        <v>43011</v>
      </c>
      <c r="F1196" t="s">
        <v>42</v>
      </c>
      <c r="G1196" t="s">
        <v>5729</v>
      </c>
      <c r="H1196" t="s">
        <v>5730</v>
      </c>
      <c r="I1196" t="s">
        <v>55</v>
      </c>
      <c r="J1196" t="s">
        <v>24</v>
      </c>
      <c r="K1196" t="s">
        <v>89</v>
      </c>
      <c r="L1196" t="s">
        <v>90</v>
      </c>
      <c r="M1196" t="s">
        <v>83</v>
      </c>
      <c r="N1196" t="s">
        <v>5731</v>
      </c>
      <c r="O1196" t="s">
        <v>67</v>
      </c>
      <c r="P1196" t="s">
        <v>229</v>
      </c>
      <c r="Q1196" t="s">
        <v>465</v>
      </c>
      <c r="R1196">
        <v>1695.72</v>
      </c>
      <c r="S1196">
        <v>9</v>
      </c>
      <c r="T1196">
        <v>0.1</v>
      </c>
      <c r="U1196">
        <v>-141.82</v>
      </c>
    </row>
    <row r="1197" spans="1:21" x14ac:dyDescent="0.35">
      <c r="A1197" t="s">
        <v>5732</v>
      </c>
      <c r="B1197" s="2">
        <v>43738</v>
      </c>
      <c r="C1197" s="2" t="str">
        <f t="shared" si="36"/>
        <v>September</v>
      </c>
      <c r="D1197" s="2" t="str">
        <f t="shared" si="37"/>
        <v>2019</v>
      </c>
      <c r="E1197" s="2">
        <v>43475</v>
      </c>
      <c r="F1197" t="s">
        <v>42</v>
      </c>
      <c r="G1197" t="s">
        <v>5733</v>
      </c>
      <c r="H1197" t="s">
        <v>5734</v>
      </c>
      <c r="I1197" t="s">
        <v>55</v>
      </c>
      <c r="J1197" t="s">
        <v>24</v>
      </c>
      <c r="K1197" t="s">
        <v>89</v>
      </c>
      <c r="L1197" t="s">
        <v>26</v>
      </c>
      <c r="M1197" t="s">
        <v>74</v>
      </c>
      <c r="N1197" t="s">
        <v>5735</v>
      </c>
      <c r="O1197" t="s">
        <v>48</v>
      </c>
      <c r="P1197" t="s">
        <v>76</v>
      </c>
      <c r="Q1197" t="s">
        <v>5736</v>
      </c>
      <c r="R1197">
        <v>212.93</v>
      </c>
      <c r="S1197">
        <v>4</v>
      </c>
      <c r="T1197">
        <v>0</v>
      </c>
      <c r="U1197">
        <v>-4.7</v>
      </c>
    </row>
    <row r="1198" spans="1:21" x14ac:dyDescent="0.35">
      <c r="A1198" t="s">
        <v>5737</v>
      </c>
      <c r="B1198" s="2">
        <v>43830</v>
      </c>
      <c r="C1198" s="2" t="str">
        <f t="shared" si="36"/>
        <v>December</v>
      </c>
      <c r="D1198" s="2" t="str">
        <f t="shared" si="37"/>
        <v>2019</v>
      </c>
      <c r="E1198" s="2">
        <v>43891</v>
      </c>
      <c r="F1198" t="s">
        <v>20</v>
      </c>
      <c r="G1198" t="s">
        <v>5738</v>
      </c>
      <c r="H1198" t="s">
        <v>3697</v>
      </c>
      <c r="I1198" t="s">
        <v>23</v>
      </c>
      <c r="J1198" t="s">
        <v>24</v>
      </c>
      <c r="K1198" t="s">
        <v>73</v>
      </c>
      <c r="L1198" t="s">
        <v>37</v>
      </c>
      <c r="M1198" t="s">
        <v>57</v>
      </c>
      <c r="N1198" t="s">
        <v>5739</v>
      </c>
      <c r="O1198" t="s">
        <v>48</v>
      </c>
      <c r="P1198" t="s">
        <v>128</v>
      </c>
      <c r="Q1198" t="s">
        <v>5740</v>
      </c>
      <c r="R1198">
        <v>875.14</v>
      </c>
      <c r="S1198">
        <v>10</v>
      </c>
      <c r="T1198">
        <v>0</v>
      </c>
      <c r="U1198">
        <v>99.43</v>
      </c>
    </row>
    <row r="1199" spans="1:21" x14ac:dyDescent="0.35">
      <c r="A1199" t="s">
        <v>5741</v>
      </c>
      <c r="B1199" s="2">
        <v>42917</v>
      </c>
      <c r="C1199" s="2" t="str">
        <f t="shared" si="36"/>
        <v>July</v>
      </c>
      <c r="D1199" s="2" t="str">
        <f t="shared" si="37"/>
        <v>2017</v>
      </c>
      <c r="E1199" s="2">
        <v>42893</v>
      </c>
      <c r="F1199" t="s">
        <v>42</v>
      </c>
      <c r="G1199" t="s">
        <v>5742</v>
      </c>
      <c r="H1199" t="s">
        <v>5743</v>
      </c>
      <c r="I1199" t="s">
        <v>35</v>
      </c>
      <c r="J1199" t="s">
        <v>24</v>
      </c>
      <c r="K1199" t="s">
        <v>212</v>
      </c>
      <c r="L1199" t="s">
        <v>90</v>
      </c>
      <c r="M1199" t="s">
        <v>27</v>
      </c>
      <c r="N1199" t="s">
        <v>5744</v>
      </c>
      <c r="O1199" t="s">
        <v>48</v>
      </c>
      <c r="P1199" t="s">
        <v>59</v>
      </c>
      <c r="Q1199" t="s">
        <v>5745</v>
      </c>
      <c r="R1199">
        <v>948.18</v>
      </c>
      <c r="S1199">
        <v>1</v>
      </c>
      <c r="T1199">
        <v>0</v>
      </c>
      <c r="U1199">
        <v>-244.35</v>
      </c>
    </row>
    <row r="1200" spans="1:21" x14ac:dyDescent="0.35">
      <c r="A1200" t="s">
        <v>5746</v>
      </c>
      <c r="B1200" s="2">
        <v>42527</v>
      </c>
      <c r="C1200" s="2" t="str">
        <f t="shared" si="36"/>
        <v>June</v>
      </c>
      <c r="D1200" s="2" t="str">
        <f t="shared" si="37"/>
        <v>2016</v>
      </c>
      <c r="E1200" s="2">
        <v>42710</v>
      </c>
      <c r="F1200" t="s">
        <v>20</v>
      </c>
      <c r="G1200" t="s">
        <v>5747</v>
      </c>
      <c r="H1200" t="s">
        <v>5748</v>
      </c>
      <c r="I1200" t="s">
        <v>55</v>
      </c>
      <c r="J1200" t="s">
        <v>24</v>
      </c>
      <c r="K1200" t="s">
        <v>89</v>
      </c>
      <c r="L1200" t="s">
        <v>82</v>
      </c>
      <c r="M1200" t="s">
        <v>83</v>
      </c>
      <c r="N1200" t="s">
        <v>5749</v>
      </c>
      <c r="O1200" t="s">
        <v>29</v>
      </c>
      <c r="P1200" t="s">
        <v>30</v>
      </c>
      <c r="Q1200" t="s">
        <v>5750</v>
      </c>
      <c r="R1200">
        <v>489</v>
      </c>
      <c r="S1200">
        <v>2</v>
      </c>
      <c r="T1200">
        <v>0.3</v>
      </c>
      <c r="U1200">
        <v>234.07</v>
      </c>
    </row>
    <row r="1201" spans="1:21" x14ac:dyDescent="0.35">
      <c r="A1201" t="s">
        <v>5751</v>
      </c>
      <c r="B1201" s="2">
        <v>43377</v>
      </c>
      <c r="C1201" s="2" t="str">
        <f t="shared" si="36"/>
        <v>October</v>
      </c>
      <c r="D1201" s="2" t="str">
        <f t="shared" si="37"/>
        <v>2018</v>
      </c>
      <c r="E1201" s="2">
        <v>43353</v>
      </c>
      <c r="F1201" t="s">
        <v>20</v>
      </c>
      <c r="G1201" t="s">
        <v>5752</v>
      </c>
      <c r="H1201" t="s">
        <v>5753</v>
      </c>
      <c r="I1201" t="s">
        <v>35</v>
      </c>
      <c r="J1201" t="s">
        <v>24</v>
      </c>
      <c r="K1201" t="s">
        <v>36</v>
      </c>
      <c r="L1201" t="s">
        <v>36</v>
      </c>
      <c r="M1201" t="s">
        <v>57</v>
      </c>
      <c r="N1201" t="s">
        <v>5754</v>
      </c>
      <c r="O1201" t="s">
        <v>29</v>
      </c>
      <c r="P1201" t="s">
        <v>110</v>
      </c>
      <c r="Q1201" t="s">
        <v>5755</v>
      </c>
      <c r="R1201">
        <v>1858.95</v>
      </c>
      <c r="S1201">
        <v>5</v>
      </c>
      <c r="T1201">
        <v>0.3</v>
      </c>
      <c r="U1201">
        <v>654.42999999999995</v>
      </c>
    </row>
    <row r="1202" spans="1:21" x14ac:dyDescent="0.35">
      <c r="A1202" t="s">
        <v>5756</v>
      </c>
      <c r="B1202" s="2">
        <v>42822</v>
      </c>
      <c r="C1202" s="2" t="str">
        <f t="shared" si="36"/>
        <v>March</v>
      </c>
      <c r="D1202" s="2" t="str">
        <f t="shared" si="37"/>
        <v>2017</v>
      </c>
      <c r="E1202" s="2" t="s">
        <v>6185</v>
      </c>
      <c r="F1202" t="s">
        <v>52</v>
      </c>
      <c r="G1202" t="s">
        <v>5757</v>
      </c>
      <c r="H1202" t="s">
        <v>5758</v>
      </c>
      <c r="I1202" t="s">
        <v>35</v>
      </c>
      <c r="J1202" t="s">
        <v>24</v>
      </c>
      <c r="K1202" t="s">
        <v>36</v>
      </c>
      <c r="L1202" t="s">
        <v>65</v>
      </c>
      <c r="M1202" t="s">
        <v>83</v>
      </c>
      <c r="N1202" t="s">
        <v>5759</v>
      </c>
      <c r="O1202" t="s">
        <v>48</v>
      </c>
      <c r="P1202" t="s">
        <v>59</v>
      </c>
      <c r="Q1202" t="s">
        <v>5636</v>
      </c>
      <c r="R1202">
        <v>565.91</v>
      </c>
      <c r="S1202">
        <v>8</v>
      </c>
      <c r="T1202">
        <v>0</v>
      </c>
      <c r="U1202">
        <v>226.86</v>
      </c>
    </row>
    <row r="1203" spans="1:21" x14ac:dyDescent="0.35">
      <c r="A1203" t="s">
        <v>5760</v>
      </c>
      <c r="B1203" s="2">
        <v>43244</v>
      </c>
      <c r="C1203" s="2" t="str">
        <f t="shared" si="36"/>
        <v>May</v>
      </c>
      <c r="D1203" s="2" t="str">
        <f t="shared" si="37"/>
        <v>2018</v>
      </c>
      <c r="E1203" s="2">
        <v>43137</v>
      </c>
      <c r="F1203" t="s">
        <v>20</v>
      </c>
      <c r="G1203" t="s">
        <v>5761</v>
      </c>
      <c r="H1203" t="s">
        <v>5762</v>
      </c>
      <c r="I1203" t="s">
        <v>23</v>
      </c>
      <c r="J1203" t="s">
        <v>24</v>
      </c>
      <c r="K1203" t="s">
        <v>103</v>
      </c>
      <c r="L1203" t="s">
        <v>115</v>
      </c>
      <c r="M1203" t="s">
        <v>83</v>
      </c>
      <c r="N1203" t="s">
        <v>5763</v>
      </c>
      <c r="O1203" t="s">
        <v>48</v>
      </c>
      <c r="P1203" t="s">
        <v>49</v>
      </c>
      <c r="Q1203" t="s">
        <v>3176</v>
      </c>
      <c r="R1203">
        <v>791.26</v>
      </c>
      <c r="S1203">
        <v>1</v>
      </c>
      <c r="T1203">
        <v>0.3</v>
      </c>
      <c r="U1203">
        <v>3.58</v>
      </c>
    </row>
    <row r="1204" spans="1:21" x14ac:dyDescent="0.35">
      <c r="A1204" t="s">
        <v>5764</v>
      </c>
      <c r="B1204" s="2">
        <v>42987</v>
      </c>
      <c r="C1204" s="2" t="str">
        <f t="shared" si="36"/>
        <v>September</v>
      </c>
      <c r="D1204" s="2" t="str">
        <f t="shared" si="37"/>
        <v>2017</v>
      </c>
      <c r="E1204" s="2" t="s">
        <v>6094</v>
      </c>
      <c r="F1204" t="s">
        <v>52</v>
      </c>
      <c r="G1204" t="s">
        <v>5765</v>
      </c>
      <c r="H1204" t="s">
        <v>4141</v>
      </c>
      <c r="I1204" t="s">
        <v>55</v>
      </c>
      <c r="J1204" t="s">
        <v>24</v>
      </c>
      <c r="K1204" t="s">
        <v>97</v>
      </c>
      <c r="L1204" t="s">
        <v>36</v>
      </c>
      <c r="M1204" t="s">
        <v>83</v>
      </c>
      <c r="N1204" t="s">
        <v>5766</v>
      </c>
      <c r="O1204" t="s">
        <v>67</v>
      </c>
      <c r="P1204" t="s">
        <v>197</v>
      </c>
      <c r="Q1204" t="s">
        <v>5767</v>
      </c>
      <c r="R1204">
        <v>1712.53</v>
      </c>
      <c r="S1204">
        <v>2</v>
      </c>
      <c r="T1204">
        <v>0</v>
      </c>
      <c r="U1204">
        <v>796.29</v>
      </c>
    </row>
    <row r="1205" spans="1:21" x14ac:dyDescent="0.35">
      <c r="A1205" t="s">
        <v>5768</v>
      </c>
      <c r="B1205" s="2">
        <v>43352</v>
      </c>
      <c r="C1205" s="2" t="str">
        <f t="shared" si="36"/>
        <v>September</v>
      </c>
      <c r="D1205" s="2" t="str">
        <f t="shared" si="37"/>
        <v>2018</v>
      </c>
      <c r="E1205" s="2" t="s">
        <v>6143</v>
      </c>
      <c r="F1205" t="s">
        <v>52</v>
      </c>
      <c r="G1205" t="s">
        <v>5769</v>
      </c>
      <c r="H1205" t="s">
        <v>1515</v>
      </c>
      <c r="I1205" t="s">
        <v>35</v>
      </c>
      <c r="J1205" t="s">
        <v>24</v>
      </c>
      <c r="K1205" t="s">
        <v>81</v>
      </c>
      <c r="L1205" t="s">
        <v>170</v>
      </c>
      <c r="M1205" t="s">
        <v>27</v>
      </c>
      <c r="N1205" t="s">
        <v>5770</v>
      </c>
      <c r="O1205" t="s">
        <v>29</v>
      </c>
      <c r="P1205" t="s">
        <v>155</v>
      </c>
      <c r="Q1205" t="s">
        <v>4501</v>
      </c>
      <c r="R1205">
        <v>31.98</v>
      </c>
      <c r="S1205">
        <v>10</v>
      </c>
      <c r="T1205">
        <v>0</v>
      </c>
      <c r="U1205">
        <v>-7.48</v>
      </c>
    </row>
    <row r="1206" spans="1:21" x14ac:dyDescent="0.35">
      <c r="A1206" t="s">
        <v>5771</v>
      </c>
      <c r="B1206" s="2">
        <v>43290</v>
      </c>
      <c r="C1206" s="2" t="str">
        <f t="shared" si="36"/>
        <v>July</v>
      </c>
      <c r="D1206" s="2" t="str">
        <f t="shared" si="37"/>
        <v>2018</v>
      </c>
      <c r="E1206" s="2" t="s">
        <v>5938</v>
      </c>
      <c r="F1206" t="s">
        <v>52</v>
      </c>
      <c r="G1206" t="s">
        <v>5772</v>
      </c>
      <c r="H1206" t="s">
        <v>5259</v>
      </c>
      <c r="I1206" t="s">
        <v>23</v>
      </c>
      <c r="J1206" t="s">
        <v>24</v>
      </c>
      <c r="K1206" t="s">
        <v>73</v>
      </c>
      <c r="L1206" t="s">
        <v>36</v>
      </c>
      <c r="M1206" t="s">
        <v>27</v>
      </c>
      <c r="N1206" t="s">
        <v>5773</v>
      </c>
      <c r="O1206" t="s">
        <v>67</v>
      </c>
      <c r="P1206" t="s">
        <v>350</v>
      </c>
      <c r="Q1206" t="s">
        <v>4857</v>
      </c>
      <c r="R1206">
        <v>1252.6600000000001</v>
      </c>
      <c r="S1206">
        <v>8</v>
      </c>
      <c r="T1206">
        <v>0</v>
      </c>
      <c r="U1206">
        <v>611.79999999999995</v>
      </c>
    </row>
    <row r="1207" spans="1:21" x14ac:dyDescent="0.35">
      <c r="A1207" t="s">
        <v>5774</v>
      </c>
      <c r="B1207" s="2">
        <v>43544</v>
      </c>
      <c r="C1207" s="2" t="str">
        <f t="shared" si="36"/>
        <v>March</v>
      </c>
      <c r="D1207" s="2" t="str">
        <f t="shared" si="37"/>
        <v>2019</v>
      </c>
      <c r="E1207" s="2" t="s">
        <v>6022</v>
      </c>
      <c r="F1207" t="s">
        <v>62</v>
      </c>
      <c r="G1207" t="s">
        <v>5775</v>
      </c>
      <c r="H1207" t="s">
        <v>5776</v>
      </c>
      <c r="I1207" t="s">
        <v>35</v>
      </c>
      <c r="J1207" t="s">
        <v>24</v>
      </c>
      <c r="K1207" t="s">
        <v>97</v>
      </c>
      <c r="L1207" t="s">
        <v>46</v>
      </c>
      <c r="M1207" t="s">
        <v>83</v>
      </c>
      <c r="N1207" t="s">
        <v>5777</v>
      </c>
      <c r="O1207" t="s">
        <v>29</v>
      </c>
      <c r="P1207" t="s">
        <v>30</v>
      </c>
      <c r="Q1207" t="s">
        <v>5778</v>
      </c>
      <c r="R1207">
        <v>999.34</v>
      </c>
      <c r="S1207">
        <v>6</v>
      </c>
      <c r="T1207">
        <v>0</v>
      </c>
      <c r="U1207">
        <v>-220.61</v>
      </c>
    </row>
    <row r="1208" spans="1:21" x14ac:dyDescent="0.35">
      <c r="A1208" t="s">
        <v>5779</v>
      </c>
      <c r="B1208" s="2">
        <v>42893</v>
      </c>
      <c r="C1208" s="2" t="str">
        <f t="shared" si="36"/>
        <v>June</v>
      </c>
      <c r="D1208" s="2" t="str">
        <f t="shared" si="37"/>
        <v>2017</v>
      </c>
      <c r="E1208" s="2">
        <v>43014</v>
      </c>
      <c r="F1208" t="s">
        <v>62</v>
      </c>
      <c r="G1208" t="s">
        <v>5780</v>
      </c>
      <c r="H1208" t="s">
        <v>5781</v>
      </c>
      <c r="I1208" t="s">
        <v>55</v>
      </c>
      <c r="J1208" t="s">
        <v>24</v>
      </c>
      <c r="K1208" t="s">
        <v>73</v>
      </c>
      <c r="L1208" t="s">
        <v>82</v>
      </c>
      <c r="M1208" t="s">
        <v>27</v>
      </c>
      <c r="N1208" t="s">
        <v>5782</v>
      </c>
      <c r="O1208" t="s">
        <v>67</v>
      </c>
      <c r="P1208" t="s">
        <v>229</v>
      </c>
      <c r="Q1208" t="s">
        <v>2691</v>
      </c>
      <c r="R1208">
        <v>231.29</v>
      </c>
      <c r="S1208">
        <v>7</v>
      </c>
      <c r="T1208">
        <v>0</v>
      </c>
      <c r="U1208">
        <v>12.64</v>
      </c>
    </row>
    <row r="1209" spans="1:21" x14ac:dyDescent="0.35">
      <c r="A1209" t="s">
        <v>5783</v>
      </c>
      <c r="B1209" s="2">
        <v>43501</v>
      </c>
      <c r="C1209" s="2" t="str">
        <f t="shared" si="36"/>
        <v>February</v>
      </c>
      <c r="D1209" s="2" t="str">
        <f t="shared" si="37"/>
        <v>2019</v>
      </c>
      <c r="E1209" s="2">
        <v>43771</v>
      </c>
      <c r="F1209" t="s">
        <v>42</v>
      </c>
      <c r="G1209" t="s">
        <v>5784</v>
      </c>
      <c r="H1209" t="s">
        <v>4621</v>
      </c>
      <c r="I1209" t="s">
        <v>23</v>
      </c>
      <c r="J1209" t="s">
        <v>24</v>
      </c>
      <c r="K1209" t="s">
        <v>89</v>
      </c>
      <c r="L1209" t="s">
        <v>170</v>
      </c>
      <c r="M1209" t="s">
        <v>27</v>
      </c>
      <c r="N1209" t="s">
        <v>5785</v>
      </c>
      <c r="O1209" t="s">
        <v>48</v>
      </c>
      <c r="P1209" t="s">
        <v>59</v>
      </c>
      <c r="Q1209" t="s">
        <v>5786</v>
      </c>
      <c r="R1209">
        <v>458.44</v>
      </c>
      <c r="S1209">
        <v>3</v>
      </c>
      <c r="T1209">
        <v>0</v>
      </c>
      <c r="U1209">
        <v>41.34</v>
      </c>
    </row>
    <row r="1210" spans="1:21" x14ac:dyDescent="0.35">
      <c r="A1210" t="s">
        <v>5787</v>
      </c>
      <c r="B1210" s="2">
        <v>43280</v>
      </c>
      <c r="C1210" s="2" t="str">
        <f t="shared" si="36"/>
        <v>June</v>
      </c>
      <c r="D1210" s="2" t="str">
        <f t="shared" si="37"/>
        <v>2018</v>
      </c>
      <c r="E1210" s="2">
        <v>43166</v>
      </c>
      <c r="F1210" t="s">
        <v>52</v>
      </c>
      <c r="G1210" t="s">
        <v>5788</v>
      </c>
      <c r="H1210" t="s">
        <v>5789</v>
      </c>
      <c r="I1210" t="s">
        <v>55</v>
      </c>
      <c r="J1210" t="s">
        <v>24</v>
      </c>
      <c r="K1210" t="s">
        <v>97</v>
      </c>
      <c r="L1210" t="s">
        <v>90</v>
      </c>
      <c r="M1210" t="s">
        <v>57</v>
      </c>
      <c r="N1210" t="s">
        <v>5790</v>
      </c>
      <c r="O1210" t="s">
        <v>29</v>
      </c>
      <c r="P1210" t="s">
        <v>39</v>
      </c>
      <c r="Q1210" t="s">
        <v>5441</v>
      </c>
      <c r="R1210">
        <v>1013.69</v>
      </c>
      <c r="S1210">
        <v>4</v>
      </c>
      <c r="T1210">
        <v>0</v>
      </c>
      <c r="U1210">
        <v>256.19</v>
      </c>
    </row>
    <row r="1211" spans="1:21" x14ac:dyDescent="0.35">
      <c r="A1211" t="s">
        <v>5791</v>
      </c>
      <c r="B1211" s="2">
        <v>43559</v>
      </c>
      <c r="C1211" s="2" t="str">
        <f t="shared" si="36"/>
        <v>April</v>
      </c>
      <c r="D1211" s="2" t="str">
        <f t="shared" si="37"/>
        <v>2019</v>
      </c>
      <c r="E1211" s="2" t="s">
        <v>6021</v>
      </c>
      <c r="F1211" t="s">
        <v>42</v>
      </c>
      <c r="G1211" t="s">
        <v>5792</v>
      </c>
      <c r="H1211" t="s">
        <v>5793</v>
      </c>
      <c r="I1211" t="s">
        <v>55</v>
      </c>
      <c r="J1211" t="s">
        <v>24</v>
      </c>
      <c r="K1211" t="s">
        <v>97</v>
      </c>
      <c r="L1211" t="s">
        <v>90</v>
      </c>
      <c r="M1211" t="s">
        <v>27</v>
      </c>
      <c r="N1211" t="s">
        <v>5794</v>
      </c>
      <c r="O1211" t="s">
        <v>29</v>
      </c>
      <c r="P1211" t="s">
        <v>155</v>
      </c>
      <c r="Q1211" t="s">
        <v>5795</v>
      </c>
      <c r="R1211">
        <v>1796.14</v>
      </c>
      <c r="S1211">
        <v>6</v>
      </c>
      <c r="T1211">
        <v>0</v>
      </c>
      <c r="U1211">
        <v>579.6</v>
      </c>
    </row>
    <row r="1212" spans="1:21" x14ac:dyDescent="0.35">
      <c r="A1212" t="s">
        <v>5796</v>
      </c>
      <c r="B1212" s="2">
        <v>43808</v>
      </c>
      <c r="C1212" s="2" t="str">
        <f t="shared" si="36"/>
        <v>December</v>
      </c>
      <c r="D1212" s="2" t="str">
        <f t="shared" si="37"/>
        <v>2019</v>
      </c>
      <c r="E1212" s="2" t="s">
        <v>6077</v>
      </c>
      <c r="F1212" t="s">
        <v>20</v>
      </c>
      <c r="G1212" t="s">
        <v>5797</v>
      </c>
      <c r="H1212" t="s">
        <v>3404</v>
      </c>
      <c r="I1212" t="s">
        <v>55</v>
      </c>
      <c r="J1212" t="s">
        <v>24</v>
      </c>
      <c r="K1212" t="s">
        <v>89</v>
      </c>
      <c r="L1212" t="s">
        <v>65</v>
      </c>
      <c r="M1212" t="s">
        <v>57</v>
      </c>
      <c r="N1212" t="s">
        <v>5798</v>
      </c>
      <c r="O1212" t="s">
        <v>48</v>
      </c>
      <c r="P1212" t="s">
        <v>59</v>
      </c>
      <c r="Q1212" t="s">
        <v>5799</v>
      </c>
      <c r="R1212">
        <v>48.71</v>
      </c>
      <c r="S1212">
        <v>6</v>
      </c>
      <c r="T1212">
        <v>0.4</v>
      </c>
      <c r="U1212">
        <v>13.92</v>
      </c>
    </row>
    <row r="1213" spans="1:21" x14ac:dyDescent="0.35">
      <c r="A1213" t="s">
        <v>5800</v>
      </c>
      <c r="B1213" s="2">
        <v>42902</v>
      </c>
      <c r="C1213" s="2" t="str">
        <f t="shared" si="36"/>
        <v>June</v>
      </c>
      <c r="D1213" s="2" t="str">
        <f t="shared" si="37"/>
        <v>2017</v>
      </c>
      <c r="E1213" s="2" t="s">
        <v>5920</v>
      </c>
      <c r="F1213" t="s">
        <v>42</v>
      </c>
      <c r="G1213" t="s">
        <v>5801</v>
      </c>
      <c r="H1213" t="s">
        <v>5802</v>
      </c>
      <c r="I1213" t="s">
        <v>23</v>
      </c>
      <c r="J1213" t="s">
        <v>24</v>
      </c>
      <c r="K1213" t="s">
        <v>36</v>
      </c>
      <c r="L1213" t="s">
        <v>56</v>
      </c>
      <c r="M1213" t="s">
        <v>83</v>
      </c>
      <c r="N1213" t="s">
        <v>5803</v>
      </c>
      <c r="O1213" t="s">
        <v>48</v>
      </c>
      <c r="P1213" t="s">
        <v>49</v>
      </c>
      <c r="Q1213" t="s">
        <v>5804</v>
      </c>
      <c r="R1213">
        <v>1199.76</v>
      </c>
      <c r="S1213">
        <v>5</v>
      </c>
      <c r="T1213">
        <v>0</v>
      </c>
      <c r="U1213">
        <v>484.92</v>
      </c>
    </row>
    <row r="1214" spans="1:21" x14ac:dyDescent="0.35">
      <c r="A1214" t="s">
        <v>5805</v>
      </c>
      <c r="B1214" s="2">
        <v>43022</v>
      </c>
      <c r="C1214" s="2" t="str">
        <f t="shared" si="36"/>
        <v>October</v>
      </c>
      <c r="D1214" s="2" t="str">
        <f t="shared" si="37"/>
        <v>2017</v>
      </c>
      <c r="E1214" s="2" t="s">
        <v>6115</v>
      </c>
      <c r="F1214" t="s">
        <v>62</v>
      </c>
      <c r="G1214" t="s">
        <v>5806</v>
      </c>
      <c r="H1214" t="s">
        <v>5807</v>
      </c>
      <c r="I1214" t="s">
        <v>35</v>
      </c>
      <c r="J1214" t="s">
        <v>24</v>
      </c>
      <c r="K1214" t="s">
        <v>25</v>
      </c>
      <c r="L1214" t="s">
        <v>170</v>
      </c>
      <c r="M1214" t="s">
        <v>74</v>
      </c>
      <c r="N1214" t="s">
        <v>5808</v>
      </c>
      <c r="O1214" t="s">
        <v>29</v>
      </c>
      <c r="P1214" t="s">
        <v>155</v>
      </c>
      <c r="Q1214" t="s">
        <v>5809</v>
      </c>
      <c r="R1214">
        <v>1872.49</v>
      </c>
      <c r="S1214">
        <v>7</v>
      </c>
      <c r="T1214">
        <v>0.2</v>
      </c>
      <c r="U1214">
        <v>99.12</v>
      </c>
    </row>
    <row r="1215" spans="1:21" x14ac:dyDescent="0.35">
      <c r="A1215" t="s">
        <v>5810</v>
      </c>
      <c r="B1215" s="2">
        <v>42860</v>
      </c>
      <c r="C1215" s="2" t="str">
        <f t="shared" si="36"/>
        <v>May</v>
      </c>
      <c r="D1215" s="2" t="str">
        <f t="shared" si="37"/>
        <v>2017</v>
      </c>
      <c r="E1215" s="2">
        <v>42921</v>
      </c>
      <c r="F1215" t="s">
        <v>52</v>
      </c>
      <c r="G1215" t="s">
        <v>5811</v>
      </c>
      <c r="H1215" t="s">
        <v>5812</v>
      </c>
      <c r="I1215" t="s">
        <v>35</v>
      </c>
      <c r="J1215" t="s">
        <v>24</v>
      </c>
      <c r="K1215" t="s">
        <v>89</v>
      </c>
      <c r="L1215" t="s">
        <v>90</v>
      </c>
      <c r="M1215" t="s">
        <v>74</v>
      </c>
      <c r="N1215" t="s">
        <v>5813</v>
      </c>
      <c r="O1215" t="s">
        <v>67</v>
      </c>
      <c r="P1215" t="s">
        <v>229</v>
      </c>
      <c r="Q1215" t="s">
        <v>5814</v>
      </c>
      <c r="R1215">
        <v>1967.74</v>
      </c>
      <c r="S1215">
        <v>8</v>
      </c>
      <c r="T1215">
        <v>0.3</v>
      </c>
      <c r="U1215">
        <v>520.4</v>
      </c>
    </row>
    <row r="1216" spans="1:21" x14ac:dyDescent="0.35">
      <c r="A1216" t="s">
        <v>5815</v>
      </c>
      <c r="B1216" s="2">
        <v>43121</v>
      </c>
      <c r="C1216" s="2" t="str">
        <f t="shared" si="36"/>
        <v>January</v>
      </c>
      <c r="D1216" s="2" t="str">
        <f t="shared" si="37"/>
        <v>2018</v>
      </c>
      <c r="E1216" s="2" t="s">
        <v>6117</v>
      </c>
      <c r="F1216" t="s">
        <v>42</v>
      </c>
      <c r="G1216" t="s">
        <v>5816</v>
      </c>
      <c r="H1216" t="s">
        <v>5817</v>
      </c>
      <c r="I1216" t="s">
        <v>35</v>
      </c>
      <c r="J1216" t="s">
        <v>24</v>
      </c>
      <c r="K1216" t="s">
        <v>81</v>
      </c>
      <c r="L1216" t="s">
        <v>82</v>
      </c>
      <c r="M1216" t="s">
        <v>27</v>
      </c>
      <c r="N1216" t="s">
        <v>5818</v>
      </c>
      <c r="O1216" t="s">
        <v>67</v>
      </c>
      <c r="P1216" t="s">
        <v>68</v>
      </c>
      <c r="Q1216" t="s">
        <v>2376</v>
      </c>
      <c r="R1216">
        <v>1095.19</v>
      </c>
      <c r="S1216">
        <v>5</v>
      </c>
      <c r="T1216">
        <v>0</v>
      </c>
      <c r="U1216">
        <v>120.64</v>
      </c>
    </row>
    <row r="1217" spans="1:21" x14ac:dyDescent="0.35">
      <c r="A1217" t="s">
        <v>5819</v>
      </c>
      <c r="B1217" s="2">
        <v>43265</v>
      </c>
      <c r="C1217" s="2" t="str">
        <f t="shared" si="36"/>
        <v>June</v>
      </c>
      <c r="D1217" s="2" t="str">
        <f t="shared" si="37"/>
        <v>2018</v>
      </c>
      <c r="E1217" s="2" t="s">
        <v>6114</v>
      </c>
      <c r="F1217" t="s">
        <v>42</v>
      </c>
      <c r="G1217" t="s">
        <v>5820</v>
      </c>
      <c r="H1217" t="s">
        <v>5821</v>
      </c>
      <c r="I1217" t="s">
        <v>35</v>
      </c>
      <c r="J1217" t="s">
        <v>24</v>
      </c>
      <c r="K1217" t="s">
        <v>36</v>
      </c>
      <c r="L1217" t="s">
        <v>65</v>
      </c>
      <c r="M1217" t="s">
        <v>74</v>
      </c>
      <c r="N1217" t="s">
        <v>5822</v>
      </c>
      <c r="O1217" t="s">
        <v>29</v>
      </c>
      <c r="P1217" t="s">
        <v>39</v>
      </c>
      <c r="Q1217" t="s">
        <v>5195</v>
      </c>
      <c r="R1217">
        <v>331.7</v>
      </c>
      <c r="S1217">
        <v>5</v>
      </c>
      <c r="T1217">
        <v>0.2</v>
      </c>
      <c r="U1217">
        <v>-30.53</v>
      </c>
    </row>
    <row r="1218" spans="1:21" x14ac:dyDescent="0.35">
      <c r="A1218" t="s">
        <v>5823</v>
      </c>
      <c r="B1218" s="2">
        <v>42758</v>
      </c>
      <c r="C1218" s="2" t="str">
        <f t="shared" si="36"/>
        <v>January</v>
      </c>
      <c r="D1218" s="2" t="str">
        <f t="shared" si="37"/>
        <v>2017</v>
      </c>
      <c r="E1218" s="2" t="s">
        <v>6202</v>
      </c>
      <c r="F1218" t="s">
        <v>42</v>
      </c>
      <c r="G1218" t="s">
        <v>5824</v>
      </c>
      <c r="H1218" t="s">
        <v>5825</v>
      </c>
      <c r="I1218" t="s">
        <v>35</v>
      </c>
      <c r="J1218" t="s">
        <v>24</v>
      </c>
      <c r="K1218" t="s">
        <v>25</v>
      </c>
      <c r="L1218" t="s">
        <v>170</v>
      </c>
      <c r="M1218" t="s">
        <v>74</v>
      </c>
      <c r="N1218" t="s">
        <v>5826</v>
      </c>
      <c r="O1218" t="s">
        <v>67</v>
      </c>
      <c r="P1218" t="s">
        <v>229</v>
      </c>
      <c r="Q1218" t="s">
        <v>5827</v>
      </c>
      <c r="R1218">
        <v>525.09</v>
      </c>
      <c r="S1218">
        <v>8</v>
      </c>
      <c r="T1218">
        <v>0.4</v>
      </c>
      <c r="U1218">
        <v>83.04</v>
      </c>
    </row>
    <row r="1219" spans="1:21" x14ac:dyDescent="0.35">
      <c r="A1219" t="s">
        <v>5828</v>
      </c>
      <c r="B1219" s="2">
        <v>43171</v>
      </c>
      <c r="C1219" s="2" t="str">
        <f t="shared" ref="C1219:C1234" si="38">TEXT(B1219,"mmmm")</f>
        <v>March</v>
      </c>
      <c r="D1219" s="2" t="str">
        <f t="shared" ref="D1219:D1234" si="39">TEXT(B1219,"yyyy")</f>
        <v>2018</v>
      </c>
      <c r="E1219" s="2" t="s">
        <v>6127</v>
      </c>
      <c r="F1219" t="s">
        <v>52</v>
      </c>
      <c r="G1219" t="s">
        <v>5829</v>
      </c>
      <c r="H1219" t="s">
        <v>5830</v>
      </c>
      <c r="I1219" t="s">
        <v>55</v>
      </c>
      <c r="J1219" t="s">
        <v>24</v>
      </c>
      <c r="K1219" t="s">
        <v>103</v>
      </c>
      <c r="L1219" t="s">
        <v>56</v>
      </c>
      <c r="M1219" t="s">
        <v>74</v>
      </c>
      <c r="N1219" t="s">
        <v>5831</v>
      </c>
      <c r="O1219" t="s">
        <v>29</v>
      </c>
      <c r="P1219" t="s">
        <v>30</v>
      </c>
      <c r="Q1219" t="s">
        <v>5832</v>
      </c>
      <c r="R1219">
        <v>1714.38</v>
      </c>
      <c r="S1219">
        <v>2</v>
      </c>
      <c r="T1219">
        <v>0.4</v>
      </c>
      <c r="U1219">
        <v>558.69000000000005</v>
      </c>
    </row>
    <row r="1220" spans="1:21" x14ac:dyDescent="0.35">
      <c r="A1220" t="s">
        <v>5833</v>
      </c>
      <c r="B1220" s="2">
        <v>43427</v>
      </c>
      <c r="C1220" s="2" t="str">
        <f t="shared" si="38"/>
        <v>November</v>
      </c>
      <c r="D1220" s="2" t="str">
        <f t="shared" si="39"/>
        <v>2018</v>
      </c>
      <c r="E1220" s="2" t="s">
        <v>5907</v>
      </c>
      <c r="F1220" t="s">
        <v>20</v>
      </c>
      <c r="G1220" t="s">
        <v>5834</v>
      </c>
      <c r="H1220" t="s">
        <v>5835</v>
      </c>
      <c r="I1220" t="s">
        <v>55</v>
      </c>
      <c r="J1220" t="s">
        <v>24</v>
      </c>
      <c r="K1220" t="s">
        <v>45</v>
      </c>
      <c r="L1220" t="s">
        <v>36</v>
      </c>
      <c r="M1220" t="s">
        <v>74</v>
      </c>
      <c r="N1220" t="s">
        <v>5836</v>
      </c>
      <c r="O1220" t="s">
        <v>67</v>
      </c>
      <c r="P1220" t="s">
        <v>92</v>
      </c>
      <c r="Q1220" t="s">
        <v>5837</v>
      </c>
      <c r="R1220">
        <v>283.16000000000003</v>
      </c>
      <c r="S1220">
        <v>5</v>
      </c>
      <c r="T1220">
        <v>0.4</v>
      </c>
      <c r="U1220">
        <v>139.72999999999999</v>
      </c>
    </row>
    <row r="1221" spans="1:21" x14ac:dyDescent="0.35">
      <c r="A1221" t="s">
        <v>5838</v>
      </c>
      <c r="B1221" s="2">
        <v>43119</v>
      </c>
      <c r="C1221" s="2" t="str">
        <f t="shared" si="38"/>
        <v>January</v>
      </c>
      <c r="D1221" s="2" t="str">
        <f t="shared" si="39"/>
        <v>2018</v>
      </c>
      <c r="E1221" s="2" t="s">
        <v>6393</v>
      </c>
      <c r="F1221" t="s">
        <v>62</v>
      </c>
      <c r="G1221" t="s">
        <v>5839</v>
      </c>
      <c r="H1221" t="s">
        <v>3675</v>
      </c>
      <c r="I1221" t="s">
        <v>55</v>
      </c>
      <c r="J1221" t="s">
        <v>24</v>
      </c>
      <c r="K1221" t="s">
        <v>89</v>
      </c>
      <c r="L1221" t="s">
        <v>46</v>
      </c>
      <c r="M1221" t="s">
        <v>27</v>
      </c>
      <c r="N1221" t="s">
        <v>5840</v>
      </c>
      <c r="O1221" t="s">
        <v>29</v>
      </c>
      <c r="P1221" t="s">
        <v>30</v>
      </c>
      <c r="Q1221" t="s">
        <v>5841</v>
      </c>
      <c r="R1221">
        <v>1603.68</v>
      </c>
      <c r="S1221">
        <v>6</v>
      </c>
      <c r="T1221">
        <v>0.1</v>
      </c>
      <c r="U1221">
        <v>386.48</v>
      </c>
    </row>
    <row r="1222" spans="1:21" x14ac:dyDescent="0.35">
      <c r="A1222" t="s">
        <v>5842</v>
      </c>
      <c r="B1222" s="2">
        <v>42898</v>
      </c>
      <c r="C1222" s="2" t="str">
        <f t="shared" si="38"/>
        <v>June</v>
      </c>
      <c r="D1222" s="2" t="str">
        <f t="shared" si="39"/>
        <v>2017</v>
      </c>
      <c r="E1222" s="2" t="s">
        <v>6394</v>
      </c>
      <c r="F1222" t="s">
        <v>62</v>
      </c>
      <c r="G1222" t="s">
        <v>5843</v>
      </c>
      <c r="H1222" t="s">
        <v>5844</v>
      </c>
      <c r="I1222" t="s">
        <v>23</v>
      </c>
      <c r="J1222" t="s">
        <v>24</v>
      </c>
      <c r="K1222" t="s">
        <v>73</v>
      </c>
      <c r="L1222" t="s">
        <v>26</v>
      </c>
      <c r="M1222" t="s">
        <v>74</v>
      </c>
      <c r="N1222" t="s">
        <v>5845</v>
      </c>
      <c r="O1222" t="s">
        <v>29</v>
      </c>
      <c r="P1222" t="s">
        <v>39</v>
      </c>
      <c r="Q1222" t="s">
        <v>5846</v>
      </c>
      <c r="R1222">
        <v>1508.63</v>
      </c>
      <c r="S1222">
        <v>9</v>
      </c>
      <c r="T1222">
        <v>0.1</v>
      </c>
      <c r="U1222">
        <v>-119.18</v>
      </c>
    </row>
    <row r="1223" spans="1:21" x14ac:dyDescent="0.35">
      <c r="A1223" t="s">
        <v>5847</v>
      </c>
      <c r="B1223" s="2">
        <v>42559</v>
      </c>
      <c r="C1223" s="2" t="str">
        <f t="shared" si="38"/>
        <v>July</v>
      </c>
      <c r="D1223" s="2" t="str">
        <f t="shared" si="39"/>
        <v>2016</v>
      </c>
      <c r="E1223" s="2">
        <v>42681</v>
      </c>
      <c r="F1223" t="s">
        <v>52</v>
      </c>
      <c r="G1223" t="s">
        <v>5848</v>
      </c>
      <c r="H1223" t="s">
        <v>5849</v>
      </c>
      <c r="I1223" t="s">
        <v>35</v>
      </c>
      <c r="J1223" t="s">
        <v>24</v>
      </c>
      <c r="K1223" t="s">
        <v>97</v>
      </c>
      <c r="L1223" t="s">
        <v>37</v>
      </c>
      <c r="M1223" t="s">
        <v>74</v>
      </c>
      <c r="N1223" t="s">
        <v>5850</v>
      </c>
      <c r="O1223" t="s">
        <v>48</v>
      </c>
      <c r="P1223" t="s">
        <v>49</v>
      </c>
      <c r="Q1223" t="s">
        <v>5851</v>
      </c>
      <c r="R1223">
        <v>1092.1600000000001</v>
      </c>
      <c r="S1223">
        <v>2</v>
      </c>
      <c r="T1223">
        <v>0</v>
      </c>
      <c r="U1223">
        <v>92.99</v>
      </c>
    </row>
    <row r="1224" spans="1:21" x14ac:dyDescent="0.35">
      <c r="A1224" t="s">
        <v>5852</v>
      </c>
      <c r="B1224" s="2">
        <v>43016</v>
      </c>
      <c r="C1224" s="2" t="str">
        <f t="shared" si="38"/>
        <v>October</v>
      </c>
      <c r="D1224" s="2" t="str">
        <f t="shared" si="39"/>
        <v>2017</v>
      </c>
      <c r="E1224" s="2" t="s">
        <v>6383</v>
      </c>
      <c r="F1224" t="s">
        <v>42</v>
      </c>
      <c r="G1224" t="s">
        <v>5853</v>
      </c>
      <c r="H1224" t="s">
        <v>4146</v>
      </c>
      <c r="I1224" t="s">
        <v>23</v>
      </c>
      <c r="J1224" t="s">
        <v>24</v>
      </c>
      <c r="K1224" t="s">
        <v>133</v>
      </c>
      <c r="L1224" t="s">
        <v>36</v>
      </c>
      <c r="M1224" t="s">
        <v>83</v>
      </c>
      <c r="N1224" t="s">
        <v>5854</v>
      </c>
      <c r="O1224" t="s">
        <v>48</v>
      </c>
      <c r="P1224" t="s">
        <v>76</v>
      </c>
      <c r="Q1224" t="s">
        <v>5855</v>
      </c>
      <c r="R1224">
        <v>1753.23</v>
      </c>
      <c r="S1224">
        <v>10</v>
      </c>
      <c r="T1224">
        <v>0</v>
      </c>
      <c r="U1224">
        <v>524.33000000000004</v>
      </c>
    </row>
    <row r="1225" spans="1:21" x14ac:dyDescent="0.35">
      <c r="A1225" t="s">
        <v>5856</v>
      </c>
      <c r="B1225" s="2">
        <v>43056</v>
      </c>
      <c r="C1225" s="2" t="str">
        <f t="shared" si="38"/>
        <v>November</v>
      </c>
      <c r="D1225" s="2" t="str">
        <f t="shared" si="39"/>
        <v>2017</v>
      </c>
      <c r="E1225" s="2" t="s">
        <v>6008</v>
      </c>
      <c r="F1225" t="s">
        <v>42</v>
      </c>
      <c r="G1225" t="s">
        <v>5857</v>
      </c>
      <c r="H1225" t="s">
        <v>5858</v>
      </c>
      <c r="I1225" t="s">
        <v>55</v>
      </c>
      <c r="J1225" t="s">
        <v>24</v>
      </c>
      <c r="K1225" t="s">
        <v>97</v>
      </c>
      <c r="L1225" t="s">
        <v>26</v>
      </c>
      <c r="M1225" t="s">
        <v>83</v>
      </c>
      <c r="N1225" t="s">
        <v>5859</v>
      </c>
      <c r="O1225" t="s">
        <v>48</v>
      </c>
      <c r="P1225" t="s">
        <v>59</v>
      </c>
      <c r="Q1225" t="s">
        <v>5860</v>
      </c>
      <c r="R1225">
        <v>406.79</v>
      </c>
      <c r="S1225">
        <v>9</v>
      </c>
      <c r="T1225">
        <v>0</v>
      </c>
      <c r="U1225">
        <v>12.39</v>
      </c>
    </row>
    <row r="1226" spans="1:21" x14ac:dyDescent="0.35">
      <c r="A1226" t="s">
        <v>5861</v>
      </c>
      <c r="B1226" s="2">
        <v>42937</v>
      </c>
      <c r="C1226" s="2" t="str">
        <f t="shared" si="38"/>
        <v>July</v>
      </c>
      <c r="D1226" s="2" t="str">
        <f t="shared" si="39"/>
        <v>2017</v>
      </c>
      <c r="E1226" s="2" t="s">
        <v>6395</v>
      </c>
      <c r="F1226" t="s">
        <v>52</v>
      </c>
      <c r="G1226" t="s">
        <v>5862</v>
      </c>
      <c r="H1226" t="s">
        <v>803</v>
      </c>
      <c r="I1226" t="s">
        <v>55</v>
      </c>
      <c r="J1226" t="s">
        <v>24</v>
      </c>
      <c r="K1226" t="s">
        <v>73</v>
      </c>
      <c r="L1226" t="s">
        <v>115</v>
      </c>
      <c r="M1226" t="s">
        <v>27</v>
      </c>
      <c r="N1226" t="s">
        <v>5863</v>
      </c>
      <c r="O1226" t="s">
        <v>67</v>
      </c>
      <c r="P1226" t="s">
        <v>350</v>
      </c>
      <c r="Q1226" t="s">
        <v>5864</v>
      </c>
      <c r="R1226">
        <v>1918.45</v>
      </c>
      <c r="S1226">
        <v>10</v>
      </c>
      <c r="T1226">
        <v>0.1</v>
      </c>
      <c r="U1226">
        <v>891.08</v>
      </c>
    </row>
    <row r="1227" spans="1:21" x14ac:dyDescent="0.35">
      <c r="A1227" t="s">
        <v>5865</v>
      </c>
      <c r="B1227" s="2">
        <v>42577</v>
      </c>
      <c r="C1227" s="2" t="str">
        <f t="shared" si="38"/>
        <v>July</v>
      </c>
      <c r="D1227" s="2" t="str">
        <f t="shared" si="39"/>
        <v>2016</v>
      </c>
      <c r="E1227" s="2" t="s">
        <v>6240</v>
      </c>
      <c r="F1227" t="s">
        <v>62</v>
      </c>
      <c r="G1227" t="s">
        <v>5866</v>
      </c>
      <c r="H1227" t="s">
        <v>5124</v>
      </c>
      <c r="I1227" t="s">
        <v>55</v>
      </c>
      <c r="J1227" t="s">
        <v>24</v>
      </c>
      <c r="K1227" t="s">
        <v>25</v>
      </c>
      <c r="L1227" t="s">
        <v>26</v>
      </c>
      <c r="M1227" t="s">
        <v>83</v>
      </c>
      <c r="N1227" t="s">
        <v>5867</v>
      </c>
      <c r="O1227" t="s">
        <v>67</v>
      </c>
      <c r="P1227" t="s">
        <v>68</v>
      </c>
      <c r="Q1227" t="s">
        <v>5868</v>
      </c>
      <c r="R1227">
        <v>1313.51</v>
      </c>
      <c r="S1227">
        <v>7</v>
      </c>
      <c r="T1227">
        <v>0.3</v>
      </c>
      <c r="U1227">
        <v>-206.83</v>
      </c>
    </row>
    <row r="1228" spans="1:21" x14ac:dyDescent="0.35">
      <c r="A1228" t="s">
        <v>5869</v>
      </c>
      <c r="B1228" s="2">
        <v>42944</v>
      </c>
      <c r="C1228" s="2" t="str">
        <f t="shared" si="38"/>
        <v>July</v>
      </c>
      <c r="D1228" s="2" t="str">
        <f t="shared" si="39"/>
        <v>2017</v>
      </c>
      <c r="E1228" s="2">
        <v>42924</v>
      </c>
      <c r="F1228" t="s">
        <v>52</v>
      </c>
      <c r="G1228" t="s">
        <v>5870</v>
      </c>
      <c r="H1228" t="s">
        <v>654</v>
      </c>
      <c r="I1228" t="s">
        <v>55</v>
      </c>
      <c r="J1228" t="s">
        <v>24</v>
      </c>
      <c r="K1228" t="s">
        <v>25</v>
      </c>
      <c r="L1228" t="s">
        <v>170</v>
      </c>
      <c r="M1228" t="s">
        <v>57</v>
      </c>
      <c r="N1228" t="s">
        <v>5871</v>
      </c>
      <c r="O1228" t="s">
        <v>29</v>
      </c>
      <c r="P1228" t="s">
        <v>110</v>
      </c>
      <c r="Q1228" t="s">
        <v>1457</v>
      </c>
      <c r="R1228">
        <v>494.15</v>
      </c>
      <c r="S1228">
        <v>10</v>
      </c>
      <c r="T1228">
        <v>0.3</v>
      </c>
      <c r="U1228">
        <v>84.54</v>
      </c>
    </row>
    <row r="1229" spans="1:21" x14ac:dyDescent="0.35">
      <c r="A1229" t="s">
        <v>5872</v>
      </c>
      <c r="B1229" s="2">
        <v>42409</v>
      </c>
      <c r="C1229" s="2" t="str">
        <f t="shared" si="38"/>
        <v>February</v>
      </c>
      <c r="D1229" s="2" t="str">
        <f t="shared" si="39"/>
        <v>2016</v>
      </c>
      <c r="E1229" s="2" t="s">
        <v>6100</v>
      </c>
      <c r="F1229" t="s">
        <v>42</v>
      </c>
      <c r="G1229" t="s">
        <v>5873</v>
      </c>
      <c r="H1229" t="s">
        <v>5874</v>
      </c>
      <c r="I1229" t="s">
        <v>23</v>
      </c>
      <c r="J1229" t="s">
        <v>24</v>
      </c>
      <c r="K1229" t="s">
        <v>73</v>
      </c>
      <c r="L1229" t="s">
        <v>36</v>
      </c>
      <c r="M1229" t="s">
        <v>74</v>
      </c>
      <c r="N1229" t="s">
        <v>5875</v>
      </c>
      <c r="O1229" t="s">
        <v>67</v>
      </c>
      <c r="P1229" t="s">
        <v>68</v>
      </c>
      <c r="Q1229" t="s">
        <v>5876</v>
      </c>
      <c r="R1229">
        <v>1255.45</v>
      </c>
      <c r="S1229">
        <v>1</v>
      </c>
      <c r="T1229">
        <v>0</v>
      </c>
      <c r="U1229">
        <v>-52.87</v>
      </c>
    </row>
    <row r="1230" spans="1:21" x14ac:dyDescent="0.35">
      <c r="A1230" t="s">
        <v>5877</v>
      </c>
      <c r="B1230" s="2">
        <v>43797</v>
      </c>
      <c r="C1230" s="2" t="str">
        <f t="shared" si="38"/>
        <v>November</v>
      </c>
      <c r="D1230" s="2" t="str">
        <f t="shared" si="39"/>
        <v>2019</v>
      </c>
      <c r="E1230" s="2">
        <v>43658</v>
      </c>
      <c r="F1230" t="s">
        <v>52</v>
      </c>
      <c r="G1230" t="s">
        <v>5878</v>
      </c>
      <c r="H1230" t="s">
        <v>5879</v>
      </c>
      <c r="I1230" t="s">
        <v>35</v>
      </c>
      <c r="J1230" t="s">
        <v>24</v>
      </c>
      <c r="K1230" t="s">
        <v>89</v>
      </c>
      <c r="L1230" t="s">
        <v>115</v>
      </c>
      <c r="M1230" t="s">
        <v>74</v>
      </c>
      <c r="N1230" t="s">
        <v>5880</v>
      </c>
      <c r="O1230" t="s">
        <v>29</v>
      </c>
      <c r="P1230" t="s">
        <v>39</v>
      </c>
      <c r="Q1230" t="s">
        <v>5881</v>
      </c>
      <c r="R1230">
        <v>142.38999999999999</v>
      </c>
      <c r="S1230">
        <v>3</v>
      </c>
      <c r="T1230">
        <v>0.2</v>
      </c>
      <c r="U1230">
        <v>13.85</v>
      </c>
    </row>
    <row r="1231" spans="1:21" x14ac:dyDescent="0.35">
      <c r="A1231" t="s">
        <v>5882</v>
      </c>
      <c r="B1231" s="2">
        <v>42953</v>
      </c>
      <c r="C1231" s="2" t="str">
        <f t="shared" si="38"/>
        <v>August</v>
      </c>
      <c r="D1231" s="2" t="str">
        <f t="shared" si="39"/>
        <v>2017</v>
      </c>
      <c r="E1231" s="2">
        <v>42955</v>
      </c>
      <c r="F1231" t="s">
        <v>42</v>
      </c>
      <c r="G1231" t="s">
        <v>5883</v>
      </c>
      <c r="H1231" t="s">
        <v>3652</v>
      </c>
      <c r="I1231" t="s">
        <v>23</v>
      </c>
      <c r="J1231" t="s">
        <v>24</v>
      </c>
      <c r="K1231" t="s">
        <v>45</v>
      </c>
      <c r="L1231" t="s">
        <v>115</v>
      </c>
      <c r="M1231" t="s">
        <v>83</v>
      </c>
      <c r="N1231" t="s">
        <v>5884</v>
      </c>
      <c r="O1231" t="s">
        <v>29</v>
      </c>
      <c r="P1231" t="s">
        <v>110</v>
      </c>
      <c r="Q1231" t="s">
        <v>5885</v>
      </c>
      <c r="R1231">
        <v>1509.57</v>
      </c>
      <c r="S1231">
        <v>2</v>
      </c>
      <c r="T1231">
        <v>0</v>
      </c>
      <c r="U1231">
        <v>647.61</v>
      </c>
    </row>
    <row r="1232" spans="1:21" x14ac:dyDescent="0.35">
      <c r="A1232" t="s">
        <v>5886</v>
      </c>
      <c r="B1232" s="2">
        <v>43590</v>
      </c>
      <c r="C1232" s="2" t="str">
        <f t="shared" si="38"/>
        <v>May</v>
      </c>
      <c r="D1232" s="2" t="str">
        <f t="shared" si="39"/>
        <v>2019</v>
      </c>
      <c r="E1232" s="2" t="s">
        <v>6187</v>
      </c>
      <c r="F1232" t="s">
        <v>42</v>
      </c>
      <c r="G1232" t="s">
        <v>5887</v>
      </c>
      <c r="H1232" t="s">
        <v>5888</v>
      </c>
      <c r="I1232" t="s">
        <v>35</v>
      </c>
      <c r="J1232" t="s">
        <v>24</v>
      </c>
      <c r="K1232" t="s">
        <v>25</v>
      </c>
      <c r="L1232" t="s">
        <v>37</v>
      </c>
      <c r="M1232" t="s">
        <v>27</v>
      </c>
      <c r="N1232" t="s">
        <v>5889</v>
      </c>
      <c r="O1232" t="s">
        <v>29</v>
      </c>
      <c r="P1232" t="s">
        <v>155</v>
      </c>
      <c r="Q1232" t="s">
        <v>1981</v>
      </c>
      <c r="R1232">
        <v>1803.48</v>
      </c>
      <c r="S1232">
        <v>8</v>
      </c>
      <c r="T1232">
        <v>0.4</v>
      </c>
      <c r="U1232">
        <v>301.14</v>
      </c>
    </row>
    <row r="1233" spans="1:21" x14ac:dyDescent="0.35">
      <c r="A1233" t="s">
        <v>5890</v>
      </c>
      <c r="B1233" s="2">
        <v>43658</v>
      </c>
      <c r="C1233" s="2" t="str">
        <f t="shared" si="38"/>
        <v>July</v>
      </c>
      <c r="D1233" s="2" t="str">
        <f t="shared" si="39"/>
        <v>2019</v>
      </c>
      <c r="E1233" s="2" t="s">
        <v>6010</v>
      </c>
      <c r="F1233" t="s">
        <v>42</v>
      </c>
      <c r="G1233" t="s">
        <v>5891</v>
      </c>
      <c r="H1233" t="s">
        <v>333</v>
      </c>
      <c r="I1233" t="s">
        <v>23</v>
      </c>
      <c r="J1233" t="s">
        <v>24</v>
      </c>
      <c r="K1233" t="s">
        <v>103</v>
      </c>
      <c r="L1233" t="s">
        <v>56</v>
      </c>
      <c r="M1233" t="s">
        <v>74</v>
      </c>
      <c r="N1233" t="s">
        <v>5892</v>
      </c>
      <c r="O1233" t="s">
        <v>29</v>
      </c>
      <c r="P1233" t="s">
        <v>30</v>
      </c>
      <c r="Q1233" t="s">
        <v>5893</v>
      </c>
      <c r="R1233">
        <v>1548.78</v>
      </c>
      <c r="S1233">
        <v>7</v>
      </c>
      <c r="T1233">
        <v>0</v>
      </c>
      <c r="U1233">
        <v>90.64</v>
      </c>
    </row>
    <row r="1234" spans="1:21" x14ac:dyDescent="0.35">
      <c r="A1234" t="s">
        <v>5894</v>
      </c>
      <c r="B1234" s="2">
        <v>42492</v>
      </c>
      <c r="C1234" s="2" t="str">
        <f t="shared" si="38"/>
        <v>May</v>
      </c>
      <c r="D1234" s="2" t="str">
        <f t="shared" si="39"/>
        <v>2016</v>
      </c>
      <c r="E1234" s="2">
        <v>42709</v>
      </c>
      <c r="F1234" t="s">
        <v>20</v>
      </c>
      <c r="G1234" t="s">
        <v>5895</v>
      </c>
      <c r="H1234" t="s">
        <v>5896</v>
      </c>
      <c r="I1234" t="s">
        <v>55</v>
      </c>
      <c r="J1234" t="s">
        <v>24</v>
      </c>
      <c r="K1234" t="s">
        <v>133</v>
      </c>
      <c r="L1234" t="s">
        <v>170</v>
      </c>
      <c r="M1234" t="s">
        <v>74</v>
      </c>
      <c r="N1234" t="s">
        <v>5897</v>
      </c>
      <c r="O1234" t="s">
        <v>67</v>
      </c>
      <c r="P1234" t="s">
        <v>229</v>
      </c>
      <c r="Q1234" t="s">
        <v>5898</v>
      </c>
      <c r="R1234">
        <v>165.19</v>
      </c>
      <c r="S1234">
        <v>5</v>
      </c>
      <c r="T1234">
        <v>0.3</v>
      </c>
      <c r="U1234">
        <v>75.33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Superstore_1233_Rows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Akbar</dc:creator>
  <cp:lastModifiedBy>Faisal Akbar</cp:lastModifiedBy>
  <dcterms:created xsi:type="dcterms:W3CDTF">2025-11-14T14:19:13Z</dcterms:created>
  <dcterms:modified xsi:type="dcterms:W3CDTF">2025-11-14T17:41:48Z</dcterms:modified>
</cp:coreProperties>
</file>